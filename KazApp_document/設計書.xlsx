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p_document\"/>
    </mc:Choice>
  </mc:AlternateContent>
  <xr:revisionPtr revIDLastSave="0" documentId="13_ncr:1_{B96B0014-5BA2-4440-80DD-F578DDBAD990}" xr6:coauthVersionLast="47" xr6:coauthVersionMax="47" xr10:uidLastSave="{00000000-0000-0000-0000-000000000000}"/>
  <bookViews>
    <workbookView xWindow="-28920" yWindow="-120" windowWidth="29040" windowHeight="15720" activeTab="2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Sheet9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9" i="3" l="1"/>
  <c r="Q81" i="3"/>
  <c r="Q80" i="3"/>
  <c r="Q79" i="3"/>
  <c r="Q78" i="3"/>
  <c r="Q77" i="3"/>
  <c r="Q76" i="3"/>
  <c r="Q75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91" i="5"/>
  <c r="K90" i="5"/>
  <c r="K89" i="5"/>
  <c r="K87" i="5"/>
  <c r="K86" i="5"/>
  <c r="K85" i="5"/>
  <c r="K84" i="5"/>
  <c r="K83" i="5"/>
  <c r="K82" i="5"/>
  <c r="K81" i="5"/>
  <c r="K49" i="5"/>
  <c r="K48" i="5"/>
  <c r="K45" i="5"/>
  <c r="K44" i="5"/>
  <c r="K35" i="5"/>
  <c r="K34" i="5"/>
  <c r="K24" i="5"/>
  <c r="K13" i="5"/>
  <c r="K7" i="5"/>
  <c r="K6" i="5"/>
  <c r="K5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7" i="4"/>
  <c r="F87" i="4"/>
  <c r="E87" i="4"/>
  <c r="G86" i="4"/>
  <c r="F86" i="4"/>
  <c r="E86" i="4"/>
  <c r="G84" i="4"/>
  <c r="F84" i="4"/>
  <c r="G83" i="4"/>
  <c r="F83" i="4"/>
  <c r="G69" i="4"/>
  <c r="F69" i="4"/>
  <c r="E69" i="4"/>
  <c r="G68" i="4"/>
  <c r="F68" i="4"/>
  <c r="E68" i="4"/>
  <c r="G67" i="4"/>
  <c r="F67" i="4"/>
  <c r="E67" i="4"/>
  <c r="G65" i="4"/>
  <c r="F65" i="4"/>
  <c r="E65" i="4"/>
  <c r="G64" i="4"/>
  <c r="F64" i="4"/>
  <c r="E64" i="4"/>
  <c r="G60" i="4"/>
  <c r="F60" i="4"/>
  <c r="E60" i="4"/>
  <c r="G59" i="4"/>
  <c r="F59" i="4"/>
  <c r="E59" i="4"/>
  <c r="G53" i="4"/>
  <c r="F53" i="4"/>
  <c r="E53" i="4"/>
  <c r="G52" i="4"/>
  <c r="F52" i="4"/>
  <c r="E52" i="4"/>
  <c r="E50" i="4"/>
  <c r="E49" i="4"/>
  <c r="E46" i="4"/>
  <c r="E44" i="4"/>
  <c r="E43" i="4"/>
  <c r="E42" i="4"/>
  <c r="E40" i="4"/>
  <c r="E39" i="4"/>
  <c r="E36" i="4"/>
  <c r="E34" i="4"/>
  <c r="E33" i="4"/>
  <c r="E32" i="4"/>
  <c r="E30" i="4"/>
  <c r="E28" i="4"/>
  <c r="E26" i="4"/>
  <c r="E25" i="4"/>
  <c r="E23" i="4"/>
  <c r="E22" i="4"/>
  <c r="E20" i="4"/>
  <c r="E17" i="4"/>
  <c r="E18" i="4" s="1"/>
  <c r="E15" i="4"/>
  <c r="E14" i="4"/>
  <c r="E12" i="4"/>
  <c r="E10" i="4"/>
  <c r="E8" i="4"/>
  <c r="E7" i="4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P3" i="4"/>
  <c r="O3" i="4"/>
  <c r="N3" i="4"/>
  <c r="M3" i="4"/>
  <c r="L3" i="4"/>
  <c r="K3" i="4"/>
  <c r="G50" i="4"/>
  <c r="F50" i="4"/>
  <c r="G49" i="4"/>
  <c r="F49" i="4"/>
  <c r="G47" i="4"/>
  <c r="F47" i="4"/>
  <c r="G46" i="4"/>
  <c r="F46" i="4"/>
  <c r="G44" i="4"/>
  <c r="F44" i="4"/>
  <c r="G43" i="4"/>
  <c r="F43" i="4"/>
  <c r="G42" i="4"/>
  <c r="F42" i="4"/>
  <c r="G40" i="4"/>
  <c r="F40" i="4"/>
  <c r="G39" i="4"/>
  <c r="F39" i="4"/>
  <c r="G37" i="4"/>
  <c r="F37" i="4"/>
  <c r="G36" i="4"/>
  <c r="F36" i="4"/>
  <c r="G34" i="4"/>
  <c r="F34" i="4"/>
  <c r="G33" i="4"/>
  <c r="F33" i="4"/>
  <c r="G32" i="4"/>
  <c r="F32" i="4"/>
  <c r="G30" i="4"/>
  <c r="F30" i="4"/>
  <c r="G28" i="4"/>
  <c r="F28" i="4"/>
  <c r="G26" i="4"/>
  <c r="F26" i="4"/>
  <c r="G25" i="4"/>
  <c r="F25" i="4"/>
  <c r="G23" i="4"/>
  <c r="F23" i="4"/>
  <c r="G22" i="4"/>
  <c r="F22" i="4"/>
  <c r="G20" i="4"/>
  <c r="F20" i="4"/>
  <c r="G18" i="4"/>
  <c r="F18" i="4"/>
  <c r="G17" i="4"/>
  <c r="F17" i="4"/>
  <c r="G15" i="4"/>
  <c r="F15" i="4"/>
  <c r="G14" i="4"/>
  <c r="F14" i="4"/>
  <c r="G12" i="4"/>
  <c r="F12" i="4"/>
  <c r="G10" i="4"/>
  <c r="F10" i="4"/>
  <c r="G8" i="4"/>
  <c r="F8" i="4"/>
  <c r="G7" i="4"/>
  <c r="F7" i="4"/>
  <c r="E47" i="4"/>
  <c r="E37" i="4"/>
  <c r="D41" i="4"/>
  <c r="E49" i="5"/>
  <c r="E45" i="5"/>
  <c r="E35" i="5"/>
  <c r="E25" i="5"/>
  <c r="E26" i="5" s="1"/>
  <c r="K26" i="5" s="1"/>
  <c r="E14" i="5"/>
  <c r="K14" i="5" s="1"/>
  <c r="E6" i="5"/>
  <c r="E7" i="5" s="1"/>
  <c r="K25" i="5" l="1"/>
  <c r="E50" i="5"/>
  <c r="K50" i="5" s="1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K36" i="5" s="1"/>
  <c r="E46" i="5"/>
  <c r="K46" i="5" s="1"/>
  <c r="E28" i="5" l="1"/>
  <c r="K28" i="5" s="1"/>
  <c r="E51" i="5"/>
  <c r="K51" i="5" s="1"/>
  <c r="E16" i="5"/>
  <c r="K16" i="5" s="1"/>
  <c r="E37" i="5"/>
  <c r="K37" i="5" s="1"/>
  <c r="E9" i="5"/>
  <c r="K9" i="5" s="1"/>
  <c r="E29" i="5" l="1"/>
  <c r="K29" i="5" s="1"/>
  <c r="E52" i="5"/>
  <c r="K52" i="5" s="1"/>
  <c r="E38" i="5"/>
  <c r="K38" i="5" s="1"/>
  <c r="E17" i="5"/>
  <c r="K17" i="5" s="1"/>
  <c r="E10" i="5"/>
  <c r="K10" i="5" s="1"/>
  <c r="E30" i="5"/>
  <c r="K30" i="5" s="1"/>
  <c r="E39" i="5" l="1"/>
  <c r="K39" i="5" s="1"/>
  <c r="E53" i="5"/>
  <c r="K53" i="5" s="1"/>
  <c r="E18" i="5"/>
  <c r="K18" i="5" s="1"/>
  <c r="E11" i="5"/>
  <c r="K11" i="5" s="1"/>
  <c r="E40" i="5"/>
  <c r="K40" i="5" s="1"/>
  <c r="E31" i="5"/>
  <c r="K31" i="5" s="1"/>
  <c r="E54" i="5" l="1"/>
  <c r="K54" i="5" s="1"/>
  <c r="E19" i="5"/>
  <c r="K19" i="5" s="1"/>
  <c r="E41" i="5"/>
  <c r="K41" i="5" s="1"/>
  <c r="E32" i="5"/>
  <c r="K32" i="5" s="1"/>
  <c r="E55" i="5" l="1"/>
  <c r="K55" i="5" s="1"/>
  <c r="E20" i="5"/>
  <c r="K20" i="5" s="1"/>
  <c r="E42" i="5"/>
  <c r="K42" i="5" s="1"/>
  <c r="E56" i="5" l="1"/>
  <c r="K56" i="5" s="1"/>
  <c r="E21" i="5"/>
  <c r="K21" i="5" s="1"/>
  <c r="E22" i="5" l="1"/>
  <c r="K22" i="5" s="1"/>
  <c r="E57" i="5"/>
  <c r="K57" i="5" s="1"/>
  <c r="E58" i="5" l="1"/>
  <c r="K58" i="5" s="1"/>
  <c r="E59" i="5" l="1"/>
  <c r="K59" i="5" s="1"/>
  <c r="E60" i="5" l="1"/>
  <c r="K60" i="5" s="1"/>
  <c r="E61" i="5" l="1"/>
  <c r="K61" i="5" s="1"/>
  <c r="E62" i="5" l="1"/>
  <c r="K62" i="5" s="1"/>
  <c r="L62" i="6"/>
  <c r="E63" i="5" l="1"/>
  <c r="K63" i="5" s="1"/>
  <c r="L63" i="6"/>
  <c r="E64" i="5" l="1"/>
  <c r="K64" i="5" s="1"/>
  <c r="L64" i="6"/>
  <c r="E65" i="5" l="1"/>
  <c r="K65" i="5" s="1"/>
  <c r="L65" i="6"/>
  <c r="E66" i="5" l="1"/>
  <c r="K66" i="5" s="1"/>
  <c r="L66" i="6"/>
  <c r="E67" i="5" l="1"/>
  <c r="K67" i="5" s="1"/>
  <c r="L67" i="6"/>
  <c r="E68" i="5" l="1"/>
  <c r="K68" i="5" s="1"/>
  <c r="L68" i="6"/>
  <c r="E69" i="5" l="1"/>
  <c r="K69" i="5" s="1"/>
  <c r="L69" i="6"/>
  <c r="E70" i="5" l="1"/>
  <c r="K70" i="5" s="1"/>
  <c r="L70" i="6"/>
  <c r="E71" i="5" l="1"/>
  <c r="K71" i="5" s="1"/>
  <c r="L71" i="6"/>
  <c r="E72" i="5" l="1"/>
  <c r="K72" i="5" s="1"/>
  <c r="L72" i="6"/>
  <c r="E73" i="5" l="1"/>
  <c r="K73" i="5" s="1"/>
  <c r="L73" i="6"/>
  <c r="E74" i="5" l="1"/>
  <c r="K74" i="5" s="1"/>
  <c r="E75" i="5" l="1"/>
  <c r="K75" i="5" s="1"/>
  <c r="E76" i="5" l="1"/>
  <c r="K76" i="5" s="1"/>
  <c r="E77" i="5" l="1"/>
  <c r="K77" i="5" s="1"/>
  <c r="E78" i="5" l="1"/>
  <c r="K78" i="5" s="1"/>
  <c r="E79" i="5" l="1"/>
  <c r="K79" i="5" s="1"/>
  <c r="L30" i="6" l="1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<sst xmlns="http://schemas.openxmlformats.org/spreadsheetml/2006/main" count="3062" uniqueCount="1172">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</sst>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56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8" zoomScale="85" zoomScaleNormal="85" workbookViewId="0">
      <selection activeCell="O53" sqref="O53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190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187</v>
      </c>
    </row>
    <row r="34" spans="2:5">
      <c r="C34" s="5" t="s">
        <v>188</v>
      </c>
      <c r="E34" s="5" t="s">
        <v>189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P97"/>
  <sheetViews>
    <sheetView tabSelected="1" topLeftCell="A5" zoomScaleNormal="100" workbookViewId="0">
      <selection activeCell="H18" sqref="H18"/>
    </sheetView>
  </sheetViews>
  <sheetFormatPr defaultRowHeight="13.5"/>
  <cols>
    <col min="1" max="1" width="9" style="5"/>
    <col min="2" max="2" width="9" style="5" customWidth="1"/>
    <col min="3" max="3" width="18" style="5" customWidth="1"/>
    <col min="4" max="4" width="17" style="5" customWidth="1"/>
    <col min="5" max="8" width="9" style="5"/>
    <col min="9" max="9" width="45.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417</v>
      </c>
    </row>
    <row r="4" spans="2:12">
      <c r="B4" s="6" t="s">
        <v>153</v>
      </c>
      <c r="C4" s="6" t="s">
        <v>1154</v>
      </c>
      <c r="D4" s="6" t="s">
        <v>1127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505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505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505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505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505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505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505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153</v>
      </c>
      <c r="C12" s="6" t="s">
        <v>1155</v>
      </c>
      <c r="D12" s="6" t="s">
        <v>1127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120</v>
      </c>
      <c r="K12" s="18"/>
    </row>
    <row r="13" spans="2:12">
      <c r="B13" s="43" t="s">
        <v>506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506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1171</v>
      </c>
      <c r="I14" s="19" t="s">
        <v>1153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506</v>
      </c>
      <c r="C15" s="9" t="s">
        <v>77</v>
      </c>
      <c r="D15" s="9" t="s">
        <v>1128</v>
      </c>
      <c r="E15" s="8">
        <f t="shared" ref="E15:E20" si="3">E14+1</f>
        <v>2</v>
      </c>
      <c r="F15" s="19"/>
      <c r="G15" s="9" t="s">
        <v>132</v>
      </c>
      <c r="H15" s="9" t="s">
        <v>1149</v>
      </c>
      <c r="I15" s="19" t="s">
        <v>1153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506</v>
      </c>
      <c r="C16" s="9" t="s">
        <v>59</v>
      </c>
      <c r="D16" s="9" t="s">
        <v>1129</v>
      </c>
      <c r="E16" s="8">
        <f t="shared" si="3"/>
        <v>3</v>
      </c>
      <c r="F16" s="19"/>
      <c r="G16" s="9" t="s">
        <v>132</v>
      </c>
      <c r="H16" s="9" t="s">
        <v>1150</v>
      </c>
      <c r="I16" s="19" t="s">
        <v>1153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506</v>
      </c>
      <c r="C17" s="9" t="s">
        <v>63</v>
      </c>
      <c r="D17" s="9" t="s">
        <v>1130</v>
      </c>
      <c r="E17" s="8">
        <f t="shared" si="3"/>
        <v>4</v>
      </c>
      <c r="F17" s="19"/>
      <c r="G17" s="9" t="s">
        <v>132</v>
      </c>
      <c r="H17" s="9" t="s">
        <v>1151</v>
      </c>
      <c r="I17" s="19" t="s">
        <v>1153</v>
      </c>
      <c r="K17" s="5" t="str">
        <f t="shared" si="2"/>
        <v>INSERT INTO m_code VALUES ('code002',4,'スロー','遅','',0,0.5,'param3: 解除確立　0.0 → 0%, 1.0 → 100%');</v>
      </c>
    </row>
    <row r="18" spans="2:11">
      <c r="B18" s="43" t="s">
        <v>506</v>
      </c>
      <c r="C18" s="9" t="s">
        <v>147</v>
      </c>
      <c r="D18" s="9" t="s">
        <v>1131</v>
      </c>
      <c r="E18" s="8">
        <f t="shared" si="3"/>
        <v>5</v>
      </c>
      <c r="F18" s="19"/>
      <c r="G18" s="9" t="s">
        <v>132</v>
      </c>
      <c r="H18" s="9" t="s">
        <v>1152</v>
      </c>
      <c r="I18" s="19" t="s">
        <v>1153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506</v>
      </c>
      <c r="C19" s="9" t="s">
        <v>148</v>
      </c>
      <c r="D19" s="9" t="s">
        <v>1132</v>
      </c>
      <c r="E19" s="8">
        <f t="shared" si="3"/>
        <v>6</v>
      </c>
      <c r="F19" s="19"/>
      <c r="G19" s="9" t="s">
        <v>132</v>
      </c>
      <c r="H19" s="9" t="s">
        <v>1152</v>
      </c>
      <c r="I19" s="19" t="s">
        <v>1153</v>
      </c>
      <c r="K19" s="5" t="str">
        <f t="shared" si="2"/>
        <v>INSERT INTO m_code VALUES ('code002',6,'回避力UP','回↑','',0,0.2,'param3: 解除確立　0.0 → 0%, 1.0 → 100%');</v>
      </c>
    </row>
    <row r="20" spans="2:11">
      <c r="B20" s="43" t="s">
        <v>506</v>
      </c>
      <c r="C20" s="9" t="s">
        <v>1126</v>
      </c>
      <c r="D20" s="9" t="s">
        <v>1135</v>
      </c>
      <c r="E20" s="8">
        <f t="shared" si="3"/>
        <v>7</v>
      </c>
      <c r="F20" s="19"/>
      <c r="G20" s="9" t="s">
        <v>132</v>
      </c>
      <c r="H20" s="9" t="s">
        <v>1152</v>
      </c>
      <c r="I20" s="19" t="s">
        <v>1153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506</v>
      </c>
      <c r="C21" s="9" t="s">
        <v>1125</v>
      </c>
      <c r="D21" s="9" t="s">
        <v>1133</v>
      </c>
      <c r="E21" s="8">
        <f>E20+1</f>
        <v>8</v>
      </c>
      <c r="F21" s="19"/>
      <c r="G21" s="9" t="s">
        <v>132</v>
      </c>
      <c r="H21" s="9" t="s">
        <v>1152</v>
      </c>
      <c r="I21" s="19" t="s">
        <v>1153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506</v>
      </c>
      <c r="C22" s="9" t="s">
        <v>1124</v>
      </c>
      <c r="D22" s="9" t="s">
        <v>1134</v>
      </c>
      <c r="E22" s="8">
        <f>E21+1</f>
        <v>9</v>
      </c>
      <c r="F22" s="19"/>
      <c r="G22" s="9" t="s">
        <v>132</v>
      </c>
      <c r="H22" s="9" t="s">
        <v>1151</v>
      </c>
      <c r="I22" s="19" t="s">
        <v>1153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153</v>
      </c>
      <c r="C23" s="6" t="s">
        <v>1156</v>
      </c>
      <c r="D23" s="6" t="s">
        <v>1127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120</v>
      </c>
      <c r="J23" s="18"/>
    </row>
    <row r="24" spans="2:11">
      <c r="B24" s="43" t="s">
        <v>507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507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507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507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507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507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507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507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507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153</v>
      </c>
      <c r="C33" s="6" t="s">
        <v>1157</v>
      </c>
      <c r="D33" s="6" t="s">
        <v>1127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120</v>
      </c>
      <c r="J33" s="18"/>
    </row>
    <row r="34" spans="2:11">
      <c r="B34" s="43" t="s">
        <v>508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508</v>
      </c>
      <c r="C35" s="13" t="s">
        <v>90</v>
      </c>
      <c r="D35" s="13" t="s">
        <v>1136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508</v>
      </c>
      <c r="C36" s="13" t="s">
        <v>91</v>
      </c>
      <c r="D36" s="13" t="s">
        <v>1137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508</v>
      </c>
      <c r="C37" s="13" t="s">
        <v>89</v>
      </c>
      <c r="D37" s="13" t="s">
        <v>1138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508</v>
      </c>
      <c r="C38" s="9" t="s">
        <v>140</v>
      </c>
      <c r="D38" s="9" t="s">
        <v>1139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508</v>
      </c>
      <c r="C39" s="9" t="s">
        <v>145</v>
      </c>
      <c r="D39" s="9" t="s">
        <v>1140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508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508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508</v>
      </c>
      <c r="C42" s="9" t="s">
        <v>86</v>
      </c>
      <c r="D42" s="9" t="s">
        <v>1141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153</v>
      </c>
      <c r="C43" s="6" t="s">
        <v>1158</v>
      </c>
      <c r="D43" s="6" t="s">
        <v>1127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120</v>
      </c>
      <c r="J43" s="18"/>
    </row>
    <row r="44" spans="2:11">
      <c r="B44" s="43" t="s">
        <v>509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509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509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153</v>
      </c>
      <c r="C47" s="6" t="s">
        <v>1159</v>
      </c>
      <c r="D47" s="6" t="s">
        <v>1127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120</v>
      </c>
      <c r="J47" s="18"/>
    </row>
    <row r="48" spans="2:11">
      <c r="B48" s="43" t="s">
        <v>510</v>
      </c>
      <c r="C48" s="9" t="s">
        <v>196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510</v>
      </c>
      <c r="C49" s="9" t="s">
        <v>164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510</v>
      </c>
      <c r="C50" s="9" t="s">
        <v>165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510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510</v>
      </c>
      <c r="C52" s="9" t="s">
        <v>192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510</v>
      </c>
      <c r="C53" s="9" t="s">
        <v>166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510</v>
      </c>
      <c r="C54" s="9" t="s">
        <v>195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510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510</v>
      </c>
      <c r="C56" s="9" t="s">
        <v>193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510</v>
      </c>
      <c r="C57" s="9" t="s">
        <v>167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510</v>
      </c>
      <c r="C58" s="9" t="s">
        <v>168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510</v>
      </c>
      <c r="C59" s="9" t="s">
        <v>169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510</v>
      </c>
      <c r="C60" s="9" t="s">
        <v>170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510</v>
      </c>
      <c r="C61" s="9" t="s">
        <v>172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510</v>
      </c>
      <c r="C62" s="9" t="s">
        <v>194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510</v>
      </c>
      <c r="C63" s="9" t="s">
        <v>186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510</v>
      </c>
      <c r="C64" s="8" t="s">
        <v>268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510</v>
      </c>
      <c r="C65" s="8" t="s">
        <v>272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510</v>
      </c>
      <c r="C66" s="8" t="s">
        <v>236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510</v>
      </c>
      <c r="C67" s="8" t="s">
        <v>197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510</v>
      </c>
      <c r="C68" s="8" t="s">
        <v>240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510</v>
      </c>
      <c r="C69" s="8" t="s">
        <v>198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510</v>
      </c>
      <c r="C70" s="8" t="s">
        <v>281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510</v>
      </c>
      <c r="C71" s="8" t="s">
        <v>243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510</v>
      </c>
      <c r="C72" s="8" t="s">
        <v>245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510</v>
      </c>
      <c r="C73" s="8" t="s">
        <v>247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510</v>
      </c>
      <c r="C74" s="8" t="s">
        <v>249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510</v>
      </c>
      <c r="C75" s="8" t="s">
        <v>251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510</v>
      </c>
      <c r="C76" s="8" t="s">
        <v>254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510</v>
      </c>
      <c r="C77" s="8" t="s">
        <v>200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510</v>
      </c>
      <c r="C78" s="8" t="s">
        <v>202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510</v>
      </c>
      <c r="C79" s="8" t="s">
        <v>286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153</v>
      </c>
      <c r="C80" s="6" t="s">
        <v>1160</v>
      </c>
      <c r="D80" s="6" t="s">
        <v>1127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120</v>
      </c>
    </row>
    <row r="81" spans="2:11">
      <c r="B81" s="43" t="s">
        <v>511</v>
      </c>
      <c r="C81" s="8" t="s">
        <v>337</v>
      </c>
      <c r="D81" s="8" t="s">
        <v>1142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511</v>
      </c>
      <c r="C82" s="8" t="s">
        <v>339</v>
      </c>
      <c r="D82" s="8" t="s">
        <v>1143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511</v>
      </c>
      <c r="C83" s="8" t="s">
        <v>340</v>
      </c>
      <c r="D83" s="8" t="s">
        <v>1144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511</v>
      </c>
      <c r="C84" s="8" t="s">
        <v>338</v>
      </c>
      <c r="D84" s="8" t="s">
        <v>1145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511</v>
      </c>
      <c r="C85" s="8" t="s">
        <v>341</v>
      </c>
      <c r="D85" s="8" t="s">
        <v>1146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511</v>
      </c>
      <c r="C86" s="8" t="s">
        <v>342</v>
      </c>
      <c r="D86" s="8" t="s">
        <v>1147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511</v>
      </c>
      <c r="C87" s="8" t="s">
        <v>343</v>
      </c>
      <c r="D87" s="8" t="s">
        <v>1148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153</v>
      </c>
      <c r="C88" s="6" t="s">
        <v>1161</v>
      </c>
      <c r="D88" s="6" t="s">
        <v>1127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120</v>
      </c>
    </row>
    <row r="89" spans="2:11">
      <c r="B89" s="43" t="s">
        <v>1119</v>
      </c>
      <c r="C89" s="8" t="s">
        <v>1120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1119</v>
      </c>
      <c r="C90" s="8" t="s">
        <v>1109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1119</v>
      </c>
      <c r="C91" s="8" t="s">
        <v>1121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7" spans="16:16">
      <c r="P97" s="5">
        <v>444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43" activePane="bottomRight" state="frozen"/>
      <selection pane="topRight" activeCell="B1" sqref="B1"/>
      <selection pane="bottomLeft" activeCell="A5" sqref="A5"/>
      <selection pane="bottomRight" activeCell="M72" sqref="M72"/>
    </sheetView>
  </sheetViews>
  <sheetFormatPr defaultRowHeight="13.5"/>
  <cols>
    <col min="1" max="2" width="7.5" style="5" customWidth="1"/>
    <col min="3" max="3" width="13.75" style="5" customWidth="1"/>
    <col min="4" max="4" width="20" style="5" customWidth="1"/>
    <col min="5" max="5" width="30.625" style="5" hidden="1" customWidth="1"/>
    <col min="6" max="6" width="13.375" style="5" customWidth="1"/>
    <col min="7" max="7" width="11" style="5" bestFit="1" customWidth="1"/>
    <col min="8" max="8" width="15.25" style="5" bestFit="1" customWidth="1"/>
    <col min="9" max="9" width="19.75" style="5" customWidth="1"/>
    <col min="10" max="12" width="9.875" style="18" customWidth="1"/>
    <col min="13" max="13" width="9.25" style="18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344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163</v>
      </c>
      <c r="L3" s="12" t="s">
        <v>124</v>
      </c>
      <c r="M3" s="12" t="s">
        <v>1169</v>
      </c>
      <c r="N3" s="12" t="s">
        <v>191</v>
      </c>
      <c r="O3" s="11" t="s">
        <v>26</v>
      </c>
    </row>
    <row r="4" spans="3:17">
      <c r="C4" s="43" t="s">
        <v>1041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1042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1065</v>
      </c>
      <c r="D6" s="13" t="s">
        <v>106</v>
      </c>
      <c r="E6" s="40" t="s">
        <v>345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1038</v>
      </c>
      <c r="D7" s="13" t="s">
        <v>92</v>
      </c>
      <c r="E7" s="40" t="s">
        <v>346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1021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173</v>
      </c>
      <c r="K8" s="14" t="s">
        <v>173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1020</v>
      </c>
      <c r="D9" s="13" t="s">
        <v>103</v>
      </c>
      <c r="E9" s="5" t="s">
        <v>347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1030</v>
      </c>
      <c r="D10" s="13" t="s">
        <v>104</v>
      </c>
      <c r="E10" s="5" t="s">
        <v>348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233</v>
      </c>
      <c r="K10" s="14" t="s">
        <v>233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1060</v>
      </c>
      <c r="D11" s="13" t="s">
        <v>102</v>
      </c>
      <c r="E11" s="5" t="s">
        <v>349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234</v>
      </c>
      <c r="K11" s="14" t="s">
        <v>234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1017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1025</v>
      </c>
      <c r="D13" s="13" t="s">
        <v>108</v>
      </c>
      <c r="E13" s="5" t="s">
        <v>350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1032</v>
      </c>
      <c r="D14" s="13" t="s">
        <v>109</v>
      </c>
      <c r="E14" s="5" t="s">
        <v>351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1049</v>
      </c>
      <c r="D15" s="13" t="s">
        <v>93</v>
      </c>
      <c r="E15" s="5" t="s">
        <v>352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1026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173</v>
      </c>
      <c r="K16" s="14" t="s">
        <v>173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1048</v>
      </c>
      <c r="D17" s="13" t="s">
        <v>105</v>
      </c>
      <c r="E17" s="5" t="s">
        <v>353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1050</v>
      </c>
      <c r="D18" s="13" t="s">
        <v>107</v>
      </c>
      <c r="E18" s="5" t="s">
        <v>354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233</v>
      </c>
      <c r="K18" s="14" t="s">
        <v>233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1052</v>
      </c>
      <c r="D19" s="13" t="s">
        <v>131</v>
      </c>
      <c r="E19" s="5" t="s">
        <v>355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234</v>
      </c>
      <c r="K19" s="14" t="s">
        <v>234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1043</v>
      </c>
      <c r="D20" s="13" t="s">
        <v>39</v>
      </c>
      <c r="E20" s="5" t="s">
        <v>356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1045</v>
      </c>
      <c r="D21" s="13" t="s">
        <v>40</v>
      </c>
      <c r="E21" s="5" t="s">
        <v>357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1055</v>
      </c>
      <c r="D22" s="13" t="s">
        <v>41</v>
      </c>
      <c r="E22" s="5" t="s">
        <v>358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1028</v>
      </c>
      <c r="D23" s="13" t="s">
        <v>42</v>
      </c>
      <c r="E23" s="5" t="s">
        <v>359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1031</v>
      </c>
      <c r="D24" s="13" t="s">
        <v>43</v>
      </c>
      <c r="E24" s="5" t="s">
        <v>360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1056</v>
      </c>
      <c r="D25" s="13" t="s">
        <v>44</v>
      </c>
      <c r="E25" s="5" t="s">
        <v>365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1044</v>
      </c>
      <c r="D26" s="13" t="s">
        <v>38</v>
      </c>
      <c r="E26" s="5" t="s">
        <v>361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1046</v>
      </c>
      <c r="D27" s="13" t="s">
        <v>45</v>
      </c>
      <c r="E27" s="5" t="s">
        <v>362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1047</v>
      </c>
      <c r="D28" s="13" t="s">
        <v>46</v>
      </c>
      <c r="E28" s="5" t="s">
        <v>366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1019</v>
      </c>
      <c r="D29" s="13" t="s">
        <v>47</v>
      </c>
      <c r="E29" s="5" t="s">
        <v>363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1022</v>
      </c>
      <c r="D30" s="13" t="s">
        <v>48</v>
      </c>
      <c r="E30" s="5" t="s">
        <v>364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1024</v>
      </c>
      <c r="D31" s="13" t="s">
        <v>55</v>
      </c>
      <c r="E31" s="5" t="s">
        <v>402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1063</v>
      </c>
      <c r="D32" s="13" t="s">
        <v>49</v>
      </c>
      <c r="E32" s="5" t="s">
        <v>367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1064</v>
      </c>
      <c r="D33" s="13" t="s">
        <v>50</v>
      </c>
      <c r="E33" s="5" t="s">
        <v>368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1067</v>
      </c>
      <c r="D34" s="13" t="s">
        <v>51</v>
      </c>
      <c r="E34" s="5" t="s">
        <v>369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1033</v>
      </c>
      <c r="D35" s="13" t="s">
        <v>52</v>
      </c>
      <c r="E35" s="5" t="s">
        <v>370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1099</v>
      </c>
      <c r="D36" s="13" t="s">
        <v>53</v>
      </c>
      <c r="E36" s="5" t="s">
        <v>371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1036</v>
      </c>
      <c r="D37" s="13" t="s">
        <v>54</v>
      </c>
      <c r="E37" s="5" t="s">
        <v>372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1053</v>
      </c>
      <c r="D38" s="13" t="s">
        <v>60</v>
      </c>
      <c r="E38" s="5" t="s">
        <v>373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1037</v>
      </c>
      <c r="D39" s="13" t="s">
        <v>61</v>
      </c>
      <c r="E39" s="5" t="s">
        <v>374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1068</v>
      </c>
      <c r="D40" s="13" t="s">
        <v>62</v>
      </c>
      <c r="E40" s="5" t="s">
        <v>375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40.5">
      <c r="C41" s="47" t="s">
        <v>1057</v>
      </c>
      <c r="D41" s="13" t="s">
        <v>64</v>
      </c>
      <c r="E41" s="5" t="s">
        <v>376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1062</v>
      </c>
      <c r="D42" s="9" t="s">
        <v>66</v>
      </c>
      <c r="E42" s="5" t="s">
        <v>377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1051</v>
      </c>
      <c r="D43" s="9" t="s">
        <v>67</v>
      </c>
      <c r="E43" s="5" t="s">
        <v>378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1061</v>
      </c>
      <c r="D44" s="9" t="s">
        <v>68</v>
      </c>
      <c r="E44" s="5" t="s">
        <v>379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1066</v>
      </c>
      <c r="D45" s="9" t="s">
        <v>70</v>
      </c>
      <c r="E45" s="5" t="s">
        <v>380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1029</v>
      </c>
      <c r="D46" s="9" t="s">
        <v>72</v>
      </c>
      <c r="E46" s="5" t="s">
        <v>381</v>
      </c>
      <c r="F46" s="9" t="s">
        <v>57</v>
      </c>
      <c r="G46" s="13" t="s">
        <v>128</v>
      </c>
      <c r="H46" s="9" t="s">
        <v>1125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1123</v>
      </c>
      <c r="D47" s="9" t="s">
        <v>74</v>
      </c>
      <c r="E47" s="5" t="s">
        <v>382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1058</v>
      </c>
      <c r="D48" s="9" t="s">
        <v>75</v>
      </c>
      <c r="E48" s="5" t="s">
        <v>386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1059</v>
      </c>
      <c r="D49" s="9" t="s">
        <v>76</v>
      </c>
      <c r="E49" s="5" t="s">
        <v>383</v>
      </c>
      <c r="F49" s="9" t="s">
        <v>57</v>
      </c>
      <c r="G49" s="13" t="s">
        <v>128</v>
      </c>
      <c r="H49" s="9" t="s">
        <v>1124</v>
      </c>
      <c r="I49" s="9" t="s">
        <v>27</v>
      </c>
      <c r="J49" s="16">
        <v>0</v>
      </c>
      <c r="K49" s="14" t="s">
        <v>158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1039</v>
      </c>
      <c r="D50" s="9" t="s">
        <v>78</v>
      </c>
      <c r="E50" s="5" t="s">
        <v>384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1040</v>
      </c>
      <c r="D51" s="9" t="s">
        <v>79</v>
      </c>
      <c r="E51" s="5" t="s">
        <v>385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1027</v>
      </c>
      <c r="D52" s="9" t="s">
        <v>80</v>
      </c>
      <c r="E52" s="5" t="s">
        <v>387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1081</v>
      </c>
      <c r="D53" s="9" t="s">
        <v>82</v>
      </c>
      <c r="E53" s="5" t="s">
        <v>388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1082</v>
      </c>
      <c r="D54" s="9" t="s">
        <v>83</v>
      </c>
      <c r="E54" s="5" t="s">
        <v>390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1083</v>
      </c>
      <c r="D55" s="9" t="s">
        <v>84</v>
      </c>
      <c r="E55" s="5" t="s">
        <v>389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1084</v>
      </c>
      <c r="D56" s="9" t="s">
        <v>126</v>
      </c>
      <c r="E56" s="5" t="s">
        <v>391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1085</v>
      </c>
      <c r="D57" s="9" t="s">
        <v>85</v>
      </c>
      <c r="E57" s="5" t="s">
        <v>392</v>
      </c>
      <c r="F57" s="9" t="s">
        <v>57</v>
      </c>
      <c r="G57" s="13" t="s">
        <v>128</v>
      </c>
      <c r="H57" s="9" t="s">
        <v>1126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1018</v>
      </c>
      <c r="D58" s="9" t="s">
        <v>143</v>
      </c>
      <c r="E58" s="5" t="s">
        <v>393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1023</v>
      </c>
      <c r="D59" s="9" t="s">
        <v>144</v>
      </c>
      <c r="E59" s="5" t="s">
        <v>394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1035</v>
      </c>
      <c r="D60" s="9" t="s">
        <v>87</v>
      </c>
      <c r="E60" s="5" t="s">
        <v>395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1069</v>
      </c>
      <c r="D61" s="8" t="s">
        <v>256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1070</v>
      </c>
      <c r="D62" s="8" t="s">
        <v>265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1072</v>
      </c>
      <c r="D63" s="8" t="s">
        <v>257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1076</v>
      </c>
      <c r="D64" s="8" t="s">
        <v>264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1074</v>
      </c>
      <c r="D65" s="8" t="s">
        <v>258</v>
      </c>
      <c r="E65" s="5" t="s">
        <v>396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1075</v>
      </c>
      <c r="D66" s="8" t="s">
        <v>263</v>
      </c>
      <c r="E66" s="5" t="s">
        <v>397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1077</v>
      </c>
      <c r="D67" s="8" t="s">
        <v>261</v>
      </c>
      <c r="E67" s="5" t="s">
        <v>398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1078</v>
      </c>
      <c r="D68" s="8" t="s">
        <v>260</v>
      </c>
      <c r="E68" s="5" t="s">
        <v>399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1071</v>
      </c>
      <c r="D69" s="8" t="s">
        <v>259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1080</v>
      </c>
      <c r="D70" s="8" t="s">
        <v>262</v>
      </c>
      <c r="E70" s="5" t="s">
        <v>400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1079</v>
      </c>
      <c r="D71" s="8" t="s">
        <v>266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1073</v>
      </c>
      <c r="D72" s="49" t="s">
        <v>267</v>
      </c>
      <c r="E72" s="5" t="s">
        <v>401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1086</v>
      </c>
      <c r="D73" s="8" t="s">
        <v>403</v>
      </c>
      <c r="E73" s="8" t="s">
        <v>404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1087</v>
      </c>
      <c r="D74" s="8" t="s">
        <v>405</v>
      </c>
      <c r="E74" s="8" t="s">
        <v>406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1088</v>
      </c>
      <c r="D75" s="8" t="s">
        <v>407</v>
      </c>
      <c r="E75" s="8" t="s">
        <v>411</v>
      </c>
      <c r="F75" s="13" t="s">
        <v>89</v>
      </c>
      <c r="G75" s="8" t="s">
        <v>1167</v>
      </c>
      <c r="H75" s="8" t="s">
        <v>1167</v>
      </c>
      <c r="I75" s="8" t="s">
        <v>1168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1089</v>
      </c>
      <c r="D76" s="8" t="s">
        <v>408</v>
      </c>
      <c r="E76" s="8" t="s">
        <v>415</v>
      </c>
      <c r="F76" s="13" t="s">
        <v>91</v>
      </c>
      <c r="G76" s="13" t="s">
        <v>150</v>
      </c>
      <c r="H76" s="13" t="s">
        <v>128</v>
      </c>
      <c r="I76" s="8" t="s">
        <v>1168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1090</v>
      </c>
      <c r="D77" s="8" t="s">
        <v>409</v>
      </c>
      <c r="E77" s="8" t="s">
        <v>416</v>
      </c>
      <c r="F77" s="13" t="s">
        <v>91</v>
      </c>
      <c r="G77" s="8" t="s">
        <v>1162</v>
      </c>
      <c r="H77" s="13" t="s">
        <v>128</v>
      </c>
      <c r="I77" s="8" t="s">
        <v>1168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1091</v>
      </c>
      <c r="D78" s="8" t="s">
        <v>410</v>
      </c>
      <c r="E78" s="8" t="s">
        <v>395</v>
      </c>
      <c r="F78" s="13" t="s">
        <v>91</v>
      </c>
      <c r="G78" s="8" t="s">
        <v>1163</v>
      </c>
      <c r="H78" s="13" t="s">
        <v>128</v>
      </c>
      <c r="I78" s="8" t="s">
        <v>1168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1092</v>
      </c>
      <c r="D79" s="8" t="s">
        <v>412</v>
      </c>
      <c r="E79" s="8" t="s">
        <v>395</v>
      </c>
      <c r="F79" s="13" t="s">
        <v>91</v>
      </c>
      <c r="G79" s="8" t="s">
        <v>1164</v>
      </c>
      <c r="H79" s="13" t="s">
        <v>128</v>
      </c>
      <c r="I79" s="8" t="s">
        <v>1168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1093</v>
      </c>
      <c r="D80" s="8" t="s">
        <v>414</v>
      </c>
      <c r="E80" s="8" t="s">
        <v>395</v>
      </c>
      <c r="F80" s="13" t="s">
        <v>91</v>
      </c>
      <c r="G80" s="8" t="s">
        <v>1165</v>
      </c>
      <c r="H80" s="13" t="s">
        <v>128</v>
      </c>
      <c r="I80" s="8" t="s">
        <v>1168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1094</v>
      </c>
      <c r="D81" s="8" t="s">
        <v>413</v>
      </c>
      <c r="E81" s="8" t="s">
        <v>395</v>
      </c>
      <c r="F81" s="13" t="s">
        <v>91</v>
      </c>
      <c r="G81" s="8" t="s">
        <v>1166</v>
      </c>
      <c r="H81" s="13" t="s">
        <v>128</v>
      </c>
      <c r="I81" s="8" t="s">
        <v>1168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P100"/>
  <sheetViews>
    <sheetView workbookViewId="0">
      <selection activeCell="D23" sqref="D23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6">
      <c r="K1" s="5" t="s">
        <v>230</v>
      </c>
    </row>
    <row r="2" spans="2:16">
      <c r="K2" s="7" t="s">
        <v>150</v>
      </c>
      <c r="L2" s="7" t="s">
        <v>151</v>
      </c>
      <c r="M2" s="7" t="s">
        <v>34</v>
      </c>
      <c r="N2" s="7" t="s">
        <v>35</v>
      </c>
      <c r="O2" s="7" t="s">
        <v>36</v>
      </c>
      <c r="P2" s="7" t="s">
        <v>37</v>
      </c>
    </row>
    <row r="3" spans="2:16">
      <c r="C3" s="5" t="s">
        <v>129</v>
      </c>
      <c r="K3" s="8">
        <f>COUNTIF($H$6:$H$100,"火")</f>
        <v>12</v>
      </c>
      <c r="L3" s="8">
        <f>COUNTIF($H$6:$H$100,"水")</f>
        <v>16</v>
      </c>
      <c r="M3" s="8">
        <f>COUNTIF($H$6:$H$100,"雷")</f>
        <v>14</v>
      </c>
      <c r="N3" s="8">
        <f>COUNTIF($H$6:$H$100,"土")</f>
        <v>11</v>
      </c>
      <c r="O3" s="8">
        <f>COUNTIF($H$6:$H$100,"光")</f>
        <v>19</v>
      </c>
      <c r="P3" s="8">
        <f>COUNTIF($H$6:$H$100,"闇")</f>
        <v>12</v>
      </c>
    </row>
    <row r="5" spans="2:16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149</v>
      </c>
    </row>
    <row r="6" spans="2:16">
      <c r="B6" s="43" t="s">
        <v>420</v>
      </c>
      <c r="C6" s="9" t="s">
        <v>196</v>
      </c>
      <c r="D6" s="9" t="s">
        <v>196</v>
      </c>
      <c r="E6" s="10" t="s">
        <v>160</v>
      </c>
      <c r="F6" s="10">
        <v>12</v>
      </c>
      <c r="G6" s="10" t="s">
        <v>178</v>
      </c>
      <c r="H6" s="10" t="s">
        <v>150</v>
      </c>
      <c r="K6" s="5" t="str">
        <f>"INSERT INTO m_monster VALUES ("&amp;"'"&amp;B6&amp;"'"&amp;","&amp;"'"&amp;C6&amp;"'"&amp;","&amp;VLOOKUP(D6,コード!$C$48:$I$101,2,FALSE)&amp;","&amp;E6&amp;","&amp;F6&amp;","&amp;G6&amp;","&amp;VLOOKUP(H6,コード!$C$5:$I$11,2,FALSE)&amp;");"</f>
        <v>INSERT INTO m_monster VALUES ('monster001','キラービー',,110,12,16,);</v>
      </c>
    </row>
    <row r="7" spans="2:16">
      <c r="B7" s="43" t="s">
        <v>422</v>
      </c>
      <c r="C7" s="9" t="s">
        <v>204</v>
      </c>
      <c r="D7" s="9" t="s">
        <v>196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10" t="s">
        <v>150</v>
      </c>
      <c r="K7" s="5" t="str">
        <f>"INSERT INTO m_monster VALUES ("&amp;"'"&amp;B7&amp;"'"&amp;","&amp;"'"&amp;C7&amp;"'"&amp;","&amp;VLOOKUP(D7,コード!$C$48:$I$101,2,FALSE)&amp;","&amp;E7&amp;","&amp;F7&amp;","&amp;G7&amp;","&amp;VLOOKUP(H7,コード!$C$5:$I$11,2,FALSE)&amp;");"</f>
        <v>INSERT INTO m_monster VALUES ('monster002','アサシンバグ',,132,15,20,);</v>
      </c>
    </row>
    <row r="8" spans="2:16">
      <c r="B8" s="43" t="s">
        <v>423</v>
      </c>
      <c r="C8" s="9" t="s">
        <v>205</v>
      </c>
      <c r="D8" s="9" t="s">
        <v>196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10" t="s">
        <v>150</v>
      </c>
      <c r="K8" s="5" t="str">
        <f>"INSERT INTO m_monster VALUES ("&amp;"'"&amp;B8&amp;"'"&amp;","&amp;"'"&amp;C8&amp;"'"&amp;","&amp;VLOOKUP(D8,コード!$C$48:$I$101,2,FALSE)&amp;","&amp;E8&amp;","&amp;F8&amp;","&amp;G8&amp;","&amp;VLOOKUP(H8,コード!$C$5:$I$11,2,FALSE)&amp;");"</f>
        <v>INSERT INTO m_monster VALUES ('monster003','ラスターバグ',,158,19,26,);</v>
      </c>
    </row>
    <row r="9" spans="2:16">
      <c r="B9" s="43" t="s">
        <v>424</v>
      </c>
      <c r="C9" s="9" t="s">
        <v>164</v>
      </c>
      <c r="D9" s="9" t="s">
        <v>164</v>
      </c>
      <c r="E9" s="10">
        <v>100</v>
      </c>
      <c r="F9" s="10">
        <v>10</v>
      </c>
      <c r="G9" s="10" t="s">
        <v>175</v>
      </c>
      <c r="H9" s="10" t="s">
        <v>34</v>
      </c>
      <c r="K9" s="5" t="str">
        <f>"INSERT INTO m_monster VALUES ("&amp;"'"&amp;B9&amp;"'"&amp;","&amp;"'"&amp;C9&amp;"'"&amp;","&amp;VLOOKUP(D9,コード!$C$48:$I$101,2,FALSE)&amp;","&amp;E9&amp;","&amp;F9&amp;","&amp;G9&amp;","&amp;VLOOKUP(H9,コード!$C$5:$I$11,2,FALSE)&amp;");"</f>
        <v>INSERT INTO m_monster VALUES ('monster004','カーミラ',,100,10,13,);</v>
      </c>
    </row>
    <row r="10" spans="2:16">
      <c r="B10" s="43" t="s">
        <v>425</v>
      </c>
      <c r="C10" s="9" t="s">
        <v>206</v>
      </c>
      <c r="D10" s="9" t="s">
        <v>164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10" t="s">
        <v>34</v>
      </c>
      <c r="K10" s="5" t="str">
        <f>"INSERT INTO m_monster VALUES ("&amp;"'"&amp;B10&amp;"'"&amp;","&amp;"'"&amp;C10&amp;"'"&amp;","&amp;VLOOKUP(D10,コード!$C$48:$I$101,2,FALSE)&amp;","&amp;E10&amp;","&amp;F10&amp;","&amp;G10&amp;","&amp;VLOOKUP(H10,コード!$C$5:$I$11,2,FALSE)&amp;");"</f>
        <v>INSERT INTO m_monster VALUES ('monster005','カーミラクイーン',,120,13,16,);</v>
      </c>
    </row>
    <row r="11" spans="2:16">
      <c r="B11" s="43" t="s">
        <v>426</v>
      </c>
      <c r="C11" s="9" t="s">
        <v>165</v>
      </c>
      <c r="D11" s="9" t="s">
        <v>165</v>
      </c>
      <c r="E11" s="10" t="s">
        <v>159</v>
      </c>
      <c r="F11" s="10" t="s">
        <v>173</v>
      </c>
      <c r="G11" s="10">
        <v>7</v>
      </c>
      <c r="H11" s="10" t="s">
        <v>36</v>
      </c>
      <c r="K11" s="5" t="str">
        <f>"INSERT INTO m_monster VALUES ("&amp;"'"&amp;B11&amp;"'"&amp;","&amp;"'"&amp;C11&amp;"'"&amp;","&amp;VLOOKUP(D11,コード!$C$48:$I$101,2,FALSE)&amp;","&amp;E11&amp;","&amp;F11&amp;","&amp;G11&amp;","&amp;VLOOKUP(H11,コード!$C$5:$I$11,2,FALSE)&amp;");"</f>
        <v>INSERT INTO m_monster VALUES ('monster006','デーモン',,130,15,7,);</v>
      </c>
    </row>
    <row r="12" spans="2:16">
      <c r="B12" s="43" t="s">
        <v>427</v>
      </c>
      <c r="C12" s="9" t="s">
        <v>207</v>
      </c>
      <c r="D12" s="9" t="s">
        <v>165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10" t="s">
        <v>36</v>
      </c>
      <c r="K12" s="5" t="str">
        <f>"INSERT INTO m_monster VALUES ("&amp;"'"&amp;B12&amp;"'"&amp;","&amp;"'"&amp;C12&amp;"'"&amp;","&amp;VLOOKUP(D12,コード!$C$48:$I$101,2,FALSE)&amp;","&amp;E12&amp;","&amp;F12&amp;","&amp;G12&amp;","&amp;VLOOKUP(H12,コード!$C$5:$I$11,2,FALSE)&amp;");"</f>
        <v>INSERT INTO m_monster VALUES ('monster007','グレートデーモン',,156,19,9,);</v>
      </c>
    </row>
    <row r="13" spans="2:16">
      <c r="B13" s="43" t="s">
        <v>428</v>
      </c>
      <c r="C13" s="9" t="s">
        <v>99</v>
      </c>
      <c r="D13" s="9" t="s">
        <v>99</v>
      </c>
      <c r="E13" s="10">
        <v>120</v>
      </c>
      <c r="F13" s="10" t="s">
        <v>176</v>
      </c>
      <c r="G13" s="10" t="s">
        <v>81</v>
      </c>
      <c r="H13" s="10" t="s">
        <v>35</v>
      </c>
      <c r="K13" s="5" t="str">
        <f>"INSERT INTO m_monster VALUES ("&amp;"'"&amp;B13&amp;"'"&amp;","&amp;"'"&amp;C13&amp;"'"&amp;","&amp;VLOOKUP(D13,コード!$C$48:$I$101,2,FALSE)&amp;","&amp;E13&amp;","&amp;F13&amp;","&amp;G13&amp;","&amp;VLOOKUP(H13,コード!$C$5:$I$11,2,FALSE)&amp;");"</f>
        <v>INSERT INTO m_monster VALUES ('monster008','ゴブリン',,120,11,10,);</v>
      </c>
    </row>
    <row r="14" spans="2:16">
      <c r="B14" s="43" t="s">
        <v>429</v>
      </c>
      <c r="C14" s="9" t="s">
        <v>208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10" t="s">
        <v>35</v>
      </c>
      <c r="K14" s="5" t="str">
        <f>"INSERT INTO m_monster VALUES ("&amp;"'"&amp;B14&amp;"'"&amp;","&amp;"'"&amp;C14&amp;"'"&amp;","&amp;VLOOKUP(D14,コード!$C$48:$I$101,2,FALSE)&amp;","&amp;E14&amp;","&amp;F14&amp;","&amp;G14&amp;","&amp;VLOOKUP(H14,コード!$C$5:$I$11,2,FALSE)&amp;");"</f>
        <v>INSERT INTO m_monster VALUES ('monster009','ゴブリンガード',,144,14,13,);</v>
      </c>
    </row>
    <row r="15" spans="2:16">
      <c r="B15" s="43" t="s">
        <v>430</v>
      </c>
      <c r="C15" s="9" t="s">
        <v>209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10" t="s">
        <v>35</v>
      </c>
      <c r="K15" s="5" t="str">
        <f>"INSERT INTO m_monster VALUES ("&amp;"'"&amp;B15&amp;"'"&amp;","&amp;"'"&amp;C15&amp;"'"&amp;","&amp;VLOOKUP(D15,コード!$C$48:$I$101,2,FALSE)&amp;","&amp;E15&amp;","&amp;F15&amp;","&amp;G15&amp;","&amp;VLOOKUP(H15,コード!$C$5:$I$11,2,FALSE)&amp;");"</f>
        <v>INSERT INTO m_monster VALUES ('monster010','ゴブリンロード',,172,18,16,);</v>
      </c>
    </row>
    <row r="16" spans="2:16">
      <c r="B16" s="43" t="s">
        <v>431</v>
      </c>
      <c r="C16" s="9" t="s">
        <v>192</v>
      </c>
      <c r="D16" s="9" t="s">
        <v>192</v>
      </c>
      <c r="E16" s="10">
        <v>140</v>
      </c>
      <c r="F16" s="10" t="s">
        <v>161</v>
      </c>
      <c r="G16" s="10">
        <v>5</v>
      </c>
      <c r="H16" s="10" t="s">
        <v>151</v>
      </c>
      <c r="K16" s="5" t="str">
        <f>"INSERT INTO m_monster VALUES ("&amp;"'"&amp;B16&amp;"'"&amp;","&amp;"'"&amp;C16&amp;"'"&amp;","&amp;VLOOKUP(D16,コード!$C$48:$I$101,2,FALSE)&amp;","&amp;E16&amp;","&amp;F16&amp;","&amp;G16&amp;","&amp;VLOOKUP(H16,コード!$C$5:$I$11,2,FALSE)&amp;");"</f>
        <v>INSERT INTO m_monster VALUES ('monster011','マシンゴーレム',,140,17,5,);</v>
      </c>
    </row>
    <row r="17" spans="2:11">
      <c r="B17" s="43" t="s">
        <v>432</v>
      </c>
      <c r="C17" s="9" t="s">
        <v>210</v>
      </c>
      <c r="D17" s="9" t="s">
        <v>192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10" t="s">
        <v>151</v>
      </c>
      <c r="K17" s="5" t="str">
        <f>"INSERT INTO m_monster VALUES ("&amp;"'"&amp;B17&amp;"'"&amp;","&amp;"'"&amp;C17&amp;"'"&amp;","&amp;VLOOKUP(D17,コード!$C$48:$I$101,2,FALSE)&amp;","&amp;E17&amp;","&amp;F17&amp;","&amp;G17&amp;","&amp;VLOOKUP(H17,コード!$C$5:$I$11,2,FALSE)&amp;");"</f>
        <v>INSERT INTO m_monster VALUES ('monster012','ガーディアン',,168,22,6,);</v>
      </c>
    </row>
    <row r="18" spans="2:11">
      <c r="B18" s="43" t="s">
        <v>433</v>
      </c>
      <c r="C18" s="9" t="s">
        <v>211</v>
      </c>
      <c r="D18" s="9" t="s">
        <v>192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10" t="s">
        <v>151</v>
      </c>
      <c r="K18" s="5" t="str">
        <f>"INSERT INTO m_monster VALUES ("&amp;"'"&amp;B18&amp;"'"&amp;","&amp;"'"&amp;C18&amp;"'"&amp;","&amp;VLOOKUP(D18,コード!$C$48:$I$101,2,FALSE)&amp;","&amp;E18&amp;","&amp;F18&amp;","&amp;G18&amp;","&amp;VLOOKUP(H18,コード!$C$5:$I$11,2,FALSE)&amp;");"</f>
        <v>INSERT INTO m_monster VALUES ('monster013','デスマシン',,201,28,7,);</v>
      </c>
    </row>
    <row r="19" spans="2:11">
      <c r="B19" s="43" t="s">
        <v>434</v>
      </c>
      <c r="C19" s="9" t="s">
        <v>166</v>
      </c>
      <c r="D19" s="9" t="s">
        <v>166</v>
      </c>
      <c r="E19" s="10">
        <v>100</v>
      </c>
      <c r="F19" s="10">
        <v>8</v>
      </c>
      <c r="G19" s="10" t="s">
        <v>179</v>
      </c>
      <c r="H19" s="10" t="s">
        <v>35</v>
      </c>
      <c r="K19" s="5" t="str">
        <f>"INSERT INTO m_monster VALUES ("&amp;"'"&amp;B19&amp;"'"&amp;","&amp;"'"&amp;C19&amp;"'"&amp;","&amp;VLOOKUP(D19,コード!$C$48:$I$101,2,FALSE)&amp;","&amp;E19&amp;","&amp;F19&amp;","&amp;G19&amp;","&amp;VLOOKUP(H19,コード!$C$5:$I$11,2,FALSE)&amp;");"</f>
        <v>INSERT INTO m_monster VALUES ('monster014','ハーピー',,100,8,14,);</v>
      </c>
    </row>
    <row r="20" spans="2:11">
      <c r="B20" s="43" t="s">
        <v>435</v>
      </c>
      <c r="C20" s="9" t="s">
        <v>212</v>
      </c>
      <c r="D20" s="9" t="s">
        <v>166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10" t="s">
        <v>35</v>
      </c>
      <c r="K20" s="5" t="str">
        <f>"INSERT INTO m_monster VALUES ("&amp;"'"&amp;B20&amp;"'"&amp;","&amp;"'"&amp;C20&amp;"'"&amp;","&amp;VLOOKUP(D20,コード!$C$48:$I$101,2,FALSE)&amp;","&amp;E20&amp;","&amp;F20&amp;","&amp;G20&amp;","&amp;VLOOKUP(H20,コード!$C$5:$I$11,2,FALSE)&amp;");"</f>
        <v>INSERT INTO m_monster VALUES ('monster015','セイレーン',,120,10,18,);</v>
      </c>
    </row>
    <row r="21" spans="2:11">
      <c r="B21" s="43" t="s">
        <v>436</v>
      </c>
      <c r="C21" s="9" t="s">
        <v>195</v>
      </c>
      <c r="D21" s="9" t="s">
        <v>195</v>
      </c>
      <c r="E21" s="10" t="s">
        <v>174</v>
      </c>
      <c r="F21" s="10" t="s">
        <v>175</v>
      </c>
      <c r="G21" s="10" t="s">
        <v>180</v>
      </c>
      <c r="H21" s="10" t="s">
        <v>34</v>
      </c>
      <c r="K21" s="5" t="str">
        <f>"INSERT INTO m_monster VALUES ("&amp;"'"&amp;B21&amp;"'"&amp;","&amp;"'"&amp;C21&amp;"'"&amp;","&amp;VLOOKUP(D21,コード!$C$48:$I$101,2,FALSE)&amp;","&amp;E21&amp;","&amp;F21&amp;","&amp;G21&amp;","&amp;VLOOKUP(H21,コード!$C$5:$I$11,2,FALSE)&amp;");"</f>
        <v>INSERT INTO m_monster VALUES ('monster016','アーマーナイト',,120,13,8,);</v>
      </c>
    </row>
    <row r="22" spans="2:11">
      <c r="B22" s="43" t="s">
        <v>437</v>
      </c>
      <c r="C22" s="9" t="s">
        <v>213</v>
      </c>
      <c r="D22" s="9" t="s">
        <v>195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10" t="s">
        <v>34</v>
      </c>
      <c r="K22" s="5" t="str">
        <f>"INSERT INTO m_monster VALUES ("&amp;"'"&amp;B22&amp;"'"&amp;","&amp;"'"&amp;C22&amp;"'"&amp;","&amp;VLOOKUP(D22,コード!$C$48:$I$101,2,FALSE)&amp;","&amp;E22&amp;","&amp;F22&amp;","&amp;G22&amp;","&amp;VLOOKUP(H22,コード!$C$5:$I$11,2,FALSE)&amp;");"</f>
        <v>INSERT INTO m_monster VALUES ('monster017','ダークナイト',,144,16,10,);</v>
      </c>
    </row>
    <row r="23" spans="2:11">
      <c r="B23" s="43" t="s">
        <v>438</v>
      </c>
      <c r="C23" s="9" t="s">
        <v>214</v>
      </c>
      <c r="D23" s="9" t="s">
        <v>195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10" t="s">
        <v>34</v>
      </c>
      <c r="K23" s="5" t="str">
        <f>"INSERT INTO m_monster VALUES ("&amp;"'"&amp;B23&amp;"'"&amp;","&amp;"'"&amp;C23&amp;"'"&amp;","&amp;VLOOKUP(D23,コード!$C$48:$I$101,2,FALSE)&amp;","&amp;E23&amp;","&amp;F23&amp;","&amp;G23&amp;","&amp;VLOOKUP(H23,コード!$C$5:$I$11,2,FALSE)&amp;");"</f>
        <v>INSERT INTO m_monster VALUES ('monster018','ターミネータ',,172,20,13,);</v>
      </c>
    </row>
    <row r="24" spans="2:11">
      <c r="B24" s="43" t="s">
        <v>439</v>
      </c>
      <c r="C24" s="9" t="s">
        <v>100</v>
      </c>
      <c r="D24" s="9" t="s">
        <v>100</v>
      </c>
      <c r="E24" s="10">
        <v>100</v>
      </c>
      <c r="F24" s="10" t="s">
        <v>177</v>
      </c>
      <c r="G24" s="10">
        <v>12</v>
      </c>
      <c r="H24" s="10" t="s">
        <v>35</v>
      </c>
      <c r="K24" s="5" t="str">
        <f>"INSERT INTO m_monster VALUES ("&amp;"'"&amp;B24&amp;"'"&amp;","&amp;"'"&amp;C24&amp;"'"&amp;","&amp;VLOOKUP(D24,コード!$C$48:$I$101,2,FALSE)&amp;","&amp;E24&amp;","&amp;F24&amp;","&amp;G24&amp;","&amp;VLOOKUP(H24,コード!$C$5:$I$11,2,FALSE)&amp;");"</f>
        <v>INSERT INTO m_monster VALUES ('monster019','マジシャン',,100,9,12,);</v>
      </c>
    </row>
    <row r="25" spans="2:11">
      <c r="B25" s="43" t="s">
        <v>440</v>
      </c>
      <c r="C25" s="9" t="s">
        <v>215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10" t="s">
        <v>35</v>
      </c>
      <c r="K25" s="5" t="str">
        <f>"INSERT INTO m_monster VALUES ("&amp;"'"&amp;B25&amp;"'"&amp;","&amp;"'"&amp;C25&amp;"'"&amp;","&amp;VLOOKUP(D25,コード!$C$48:$I$101,2,FALSE)&amp;","&amp;E25&amp;","&amp;F25&amp;","&amp;G25&amp;","&amp;VLOOKUP(H25,コード!$C$5:$I$11,2,FALSE)&amp;");"</f>
        <v>INSERT INTO m_monster VALUES ('monster020','ウィザード',,120,11,15,);</v>
      </c>
    </row>
    <row r="26" spans="2:11">
      <c r="B26" s="43" t="s">
        <v>441</v>
      </c>
      <c r="C26" s="9" t="s">
        <v>216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10" t="s">
        <v>35</v>
      </c>
      <c r="K26" s="5" t="str">
        <f>"INSERT INTO m_monster VALUES ("&amp;"'"&amp;B26&amp;"'"&amp;","&amp;"'"&amp;C26&amp;"'"&amp;","&amp;VLOOKUP(D26,コード!$C$48:$I$101,2,FALSE)&amp;","&amp;E26&amp;","&amp;F26&amp;","&amp;G26&amp;","&amp;VLOOKUP(H26,コード!$C$5:$I$11,2,FALSE)&amp;");"</f>
        <v>INSERT INTO m_monster VALUES ('monster021','ハイウィザード',,144,14,19,);</v>
      </c>
    </row>
    <row r="27" spans="2:11">
      <c r="B27" s="43" t="s">
        <v>442</v>
      </c>
      <c r="C27" s="9" t="s">
        <v>193</v>
      </c>
      <c r="D27" s="9" t="s">
        <v>193</v>
      </c>
      <c r="E27" s="10" t="s">
        <v>174</v>
      </c>
      <c r="F27" s="10" t="s">
        <v>81</v>
      </c>
      <c r="G27" s="10" t="s">
        <v>181</v>
      </c>
      <c r="H27" s="10" t="s">
        <v>150</v>
      </c>
      <c r="K27" s="5" t="str">
        <f>"INSERT INTO m_monster VALUES ("&amp;"'"&amp;B27&amp;"'"&amp;","&amp;"'"&amp;C27&amp;"'"&amp;","&amp;VLOOKUP(D27,コード!$C$48:$I$101,2,FALSE)&amp;","&amp;E27&amp;","&amp;F27&amp;","&amp;G27&amp;","&amp;VLOOKUP(H27,コード!$C$5:$I$11,2,FALSE)&amp;");"</f>
        <v>INSERT INTO m_monster VALUES ('monster022','マイコニド',,120,10,12,);</v>
      </c>
    </row>
    <row r="28" spans="2:11">
      <c r="B28" s="43" t="s">
        <v>443</v>
      </c>
      <c r="C28" s="9" t="s">
        <v>217</v>
      </c>
      <c r="D28" s="9" t="s">
        <v>193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10" t="s">
        <v>150</v>
      </c>
      <c r="K28" s="5" t="str">
        <f>"INSERT INTO m_monster VALUES ("&amp;"'"&amp;B28&amp;"'"&amp;","&amp;"'"&amp;C28&amp;"'"&amp;","&amp;VLOOKUP(D28,コード!$C$48:$I$101,2,FALSE)&amp;","&amp;E28&amp;","&amp;F28&amp;","&amp;G28&amp;","&amp;VLOOKUP(H28,コード!$C$5:$I$11,2,FALSE)&amp;");"</f>
        <v>INSERT INTO m_monster VALUES ('monster023','ダースマタンゴ',,144,13,15,);</v>
      </c>
    </row>
    <row r="29" spans="2:11">
      <c r="B29" s="43" t="s">
        <v>444</v>
      </c>
      <c r="C29" s="9" t="s">
        <v>167</v>
      </c>
      <c r="D29" s="9" t="s">
        <v>167</v>
      </c>
      <c r="E29" s="10">
        <v>100</v>
      </c>
      <c r="F29" s="10" t="s">
        <v>175</v>
      </c>
      <c r="G29" s="10" t="s">
        <v>178</v>
      </c>
      <c r="H29" s="10" t="s">
        <v>151</v>
      </c>
      <c r="K29" s="5" t="str">
        <f>"INSERT INTO m_monster VALUES ("&amp;"'"&amp;B29&amp;"'"&amp;","&amp;"'"&amp;C29&amp;"'"&amp;","&amp;VLOOKUP(D29,コード!$C$48:$I$101,2,FALSE)&amp;","&amp;E29&amp;","&amp;F29&amp;","&amp;G29&amp;","&amp;VLOOKUP(H29,コード!$C$5:$I$11,2,FALSE)&amp;");"</f>
        <v>INSERT INTO m_monster VALUES ('monster024','ニードルバード',,100,13,16,);</v>
      </c>
    </row>
    <row r="30" spans="2:11">
      <c r="B30" s="43" t="s">
        <v>445</v>
      </c>
      <c r="C30" s="9" t="s">
        <v>218</v>
      </c>
      <c r="D30" s="9" t="s">
        <v>167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10" t="s">
        <v>151</v>
      </c>
      <c r="K30" s="5" t="str">
        <f>"INSERT INTO m_monster VALUES ("&amp;"'"&amp;B30&amp;"'"&amp;","&amp;"'"&amp;C30&amp;"'"&amp;","&amp;VLOOKUP(D30,コード!$C$48:$I$101,2,FALSE)&amp;","&amp;E30&amp;","&amp;F30&amp;","&amp;G30&amp;","&amp;VLOOKUP(H30,コード!$C$5:$I$11,2,FALSE)&amp;");"</f>
        <v>INSERT INTO m_monster VALUES ('monster025','コカトバード',,120,16,20,);</v>
      </c>
    </row>
    <row r="31" spans="2:11">
      <c r="B31" s="43" t="s">
        <v>446</v>
      </c>
      <c r="C31" s="9" t="s">
        <v>168</v>
      </c>
      <c r="D31" s="9" t="s">
        <v>168</v>
      </c>
      <c r="E31" s="10">
        <v>130</v>
      </c>
      <c r="F31" s="10">
        <v>13</v>
      </c>
      <c r="G31" s="10">
        <v>8</v>
      </c>
      <c r="H31" s="10" t="s">
        <v>151</v>
      </c>
      <c r="K31" s="5" t="str">
        <f>"INSERT INTO m_monster VALUES ("&amp;"'"&amp;B31&amp;"'"&amp;","&amp;"'"&amp;C31&amp;"'"&amp;","&amp;VLOOKUP(D31,コード!$C$48:$I$101,2,FALSE)&amp;","&amp;E31&amp;","&amp;F31&amp;","&amp;G31&amp;","&amp;VLOOKUP(H31,コード!$C$5:$I$11,2,FALSE)&amp;");"</f>
        <v>INSERT INTO m_monster VALUES ('monster026','プチドラゴン',,130,13,8,);</v>
      </c>
    </row>
    <row r="32" spans="2:11">
      <c r="B32" s="43" t="s">
        <v>447</v>
      </c>
      <c r="C32" s="9" t="s">
        <v>219</v>
      </c>
      <c r="D32" s="9" t="s">
        <v>168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10" t="s">
        <v>36</v>
      </c>
      <c r="K32" s="5" t="str">
        <f>"INSERT INTO m_monster VALUES ("&amp;"'"&amp;B32&amp;"'"&amp;","&amp;"'"&amp;C32&amp;"'"&amp;","&amp;VLOOKUP(D32,コード!$C$48:$I$101,2,FALSE)&amp;","&amp;E32&amp;","&amp;F32&amp;","&amp;G32&amp;","&amp;VLOOKUP(H32,コード!$C$5:$I$11,2,FALSE)&amp;");"</f>
        <v>INSERT INTO m_monster VALUES ('monster027','プチドラゾンビ',,156,16,10,);</v>
      </c>
    </row>
    <row r="33" spans="2:11">
      <c r="B33" s="43" t="s">
        <v>448</v>
      </c>
      <c r="C33" s="9" t="s">
        <v>220</v>
      </c>
      <c r="D33" s="9" t="s">
        <v>168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10" t="s">
        <v>150</v>
      </c>
      <c r="K33" s="5" t="str">
        <f>"INSERT INTO m_monster VALUES ("&amp;"'"&amp;B33&amp;"'"&amp;","&amp;"'"&amp;C33&amp;"'"&amp;","&amp;VLOOKUP(D33,コード!$C$48:$I$101,2,FALSE)&amp;","&amp;E33&amp;","&amp;F33&amp;","&amp;G33&amp;","&amp;VLOOKUP(H33,コード!$C$5:$I$11,2,FALSE)&amp;");"</f>
        <v>INSERT INTO m_monster VALUES ('monster028','フロストドラゴン',,187,20,13,);</v>
      </c>
    </row>
    <row r="34" spans="2:11">
      <c r="B34" s="43" t="s">
        <v>449</v>
      </c>
      <c r="C34" s="9" t="s">
        <v>221</v>
      </c>
      <c r="D34" s="9" t="s">
        <v>168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10" t="s">
        <v>37</v>
      </c>
      <c r="K34" s="5" t="str">
        <f>"INSERT INTO m_monster VALUES ("&amp;"'"&amp;B34&amp;"'"&amp;","&amp;"'"&amp;C34&amp;"'"&amp;","&amp;VLOOKUP(D34,コード!$C$48:$I$101,2,FALSE)&amp;","&amp;E34&amp;","&amp;F34&amp;","&amp;G34&amp;","&amp;VLOOKUP(H34,コード!$C$5:$I$11,2,FALSE)&amp;");"</f>
        <v>INSERT INTO m_monster VALUES ('monster029','プチティアマット',,224,26,16,);</v>
      </c>
    </row>
    <row r="35" spans="2:11">
      <c r="B35" s="43" t="s">
        <v>450</v>
      </c>
      <c r="C35" s="9" t="s">
        <v>169</v>
      </c>
      <c r="D35" s="9" t="s">
        <v>169</v>
      </c>
      <c r="E35" s="10">
        <v>100</v>
      </c>
      <c r="F35" s="10">
        <v>10</v>
      </c>
      <c r="G35" s="10">
        <v>16</v>
      </c>
      <c r="H35" s="10" t="s">
        <v>37</v>
      </c>
      <c r="K35" s="5" t="str">
        <f>"INSERT INTO m_monster VALUES ("&amp;"'"&amp;B35&amp;"'"&amp;","&amp;"'"&amp;C35&amp;"'"&amp;","&amp;VLOOKUP(D35,コード!$C$48:$I$101,2,FALSE)&amp;","&amp;E35&amp;","&amp;F35&amp;","&amp;G35&amp;","&amp;VLOOKUP(H35,コード!$C$5:$I$11,2,FALSE)&amp;");"</f>
        <v>INSERT INTO m_monster VALUES ('monster030','ポト',,100,10,16,);</v>
      </c>
    </row>
    <row r="36" spans="2:11">
      <c r="B36" s="43" t="s">
        <v>451</v>
      </c>
      <c r="C36" s="9" t="s">
        <v>222</v>
      </c>
      <c r="D36" s="9" t="s">
        <v>169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10" t="s">
        <v>37</v>
      </c>
      <c r="K36" s="5" t="str">
        <f>"INSERT INTO m_monster VALUES ("&amp;"'"&amp;B36&amp;"'"&amp;","&amp;"'"&amp;C36&amp;"'"&amp;","&amp;VLOOKUP(D36,コード!$C$48:$I$101,2,FALSE)&amp;","&amp;E36&amp;","&amp;F36&amp;","&amp;G36&amp;","&amp;VLOOKUP(H36,コード!$C$5:$I$11,2,FALSE)&amp;");"</f>
        <v>INSERT INTO m_monster VALUES ('monster031','マーマポト',,120,13,20,);</v>
      </c>
    </row>
    <row r="37" spans="2:11">
      <c r="B37" s="43" t="s">
        <v>452</v>
      </c>
      <c r="C37" s="9" t="s">
        <v>223</v>
      </c>
      <c r="D37" s="9" t="s">
        <v>169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10" t="s">
        <v>37</v>
      </c>
      <c r="K37" s="5" t="str">
        <f>"INSERT INTO m_monster VALUES ("&amp;"'"&amp;B37&amp;"'"&amp;","&amp;"'"&amp;C37&amp;"'"&amp;","&amp;VLOOKUP(D37,コード!$C$48:$I$101,2,FALSE)&amp;","&amp;E37&amp;","&amp;F37&amp;","&amp;G37&amp;","&amp;VLOOKUP(H37,コード!$C$5:$I$11,2,FALSE)&amp;");"</f>
        <v>INSERT INTO m_monster VALUES ('monster032','パーパポト',,141,16,26,);</v>
      </c>
    </row>
    <row r="38" spans="2:11">
      <c r="B38" s="43" t="s">
        <v>453</v>
      </c>
      <c r="C38" s="9" t="s">
        <v>170</v>
      </c>
      <c r="D38" s="9" t="s">
        <v>170</v>
      </c>
      <c r="E38" s="10">
        <v>100</v>
      </c>
      <c r="F38" s="10">
        <v>9</v>
      </c>
      <c r="G38" s="10">
        <v>13</v>
      </c>
      <c r="H38" s="10" t="s">
        <v>37</v>
      </c>
      <c r="K38" s="5" t="str">
        <f>"INSERT INTO m_monster VALUES ("&amp;"'"&amp;B38&amp;"'"&amp;","&amp;"'"&amp;C38&amp;"'"&amp;","&amp;VLOOKUP(D38,コード!$C$48:$I$101,2,FALSE)&amp;","&amp;E38&amp;","&amp;F38&amp;","&amp;G38&amp;","&amp;VLOOKUP(H38,コード!$C$5:$I$11,2,FALSE)&amp;");"</f>
        <v>INSERT INTO m_monster VALUES ('monster033','プリースト',,100,9,13,);</v>
      </c>
    </row>
    <row r="39" spans="2:11">
      <c r="B39" s="43" t="s">
        <v>454</v>
      </c>
      <c r="C39" s="9" t="s">
        <v>224</v>
      </c>
      <c r="D39" s="9" t="s">
        <v>170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10" t="s">
        <v>36</v>
      </c>
      <c r="K39" s="5" t="str">
        <f>"INSERT INTO m_monster VALUES ("&amp;"'"&amp;B39&amp;"'"&amp;","&amp;"'"&amp;C39&amp;"'"&amp;","&amp;VLOOKUP(D39,コード!$C$48:$I$101,2,FALSE)&amp;","&amp;E39&amp;","&amp;F39&amp;","&amp;G39&amp;","&amp;VLOOKUP(H39,コード!$C$5:$I$11,2,FALSE)&amp;");"</f>
        <v>INSERT INTO m_monster VALUES ('monster034','カオスソーサラー',,120,11,16,);</v>
      </c>
    </row>
    <row r="40" spans="2:11">
      <c r="B40" s="43" t="s">
        <v>455</v>
      </c>
      <c r="C40" s="9" t="s">
        <v>225</v>
      </c>
      <c r="D40" s="9" t="s">
        <v>170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10" t="s">
        <v>36</v>
      </c>
      <c r="K40" s="5" t="str">
        <f>"INSERT INTO m_monster VALUES ("&amp;"'"&amp;B40&amp;"'"&amp;","&amp;"'"&amp;C40&amp;"'"&amp;","&amp;VLOOKUP(D40,コード!$C$48:$I$101,2,FALSE)&amp;","&amp;E40&amp;","&amp;F40&amp;","&amp;G40&amp;","&amp;VLOOKUP(H40,コード!$C$5:$I$11,2,FALSE)&amp;");"</f>
        <v>INSERT INTO m_monster VALUES ('monster035','イビルシャーマン',,144,14,20,);</v>
      </c>
    </row>
    <row r="41" spans="2:11">
      <c r="B41" s="43" t="s">
        <v>456</v>
      </c>
      <c r="C41" s="9" t="s">
        <v>172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10" t="s">
        <v>37</v>
      </c>
      <c r="K41" s="5" t="str">
        <f>"INSERT INTO m_monster VALUES ("&amp;"'"&amp;B41&amp;"'"&amp;","&amp;"'"&amp;C41&amp;"'"&amp;","&amp;VLOOKUP(D41,コード!$C$48:$I$101,2,FALSE)&amp;","&amp;E41&amp;","&amp;F41&amp;","&amp;G41&amp;","&amp;VLOOKUP(H41,コード!$C$5:$I$11,2,FALSE)&amp;");"</f>
        <v>INSERT INTO m_monster VALUES ('monster036','ラビ',,100,11,16,);</v>
      </c>
    </row>
    <row r="42" spans="2:11">
      <c r="B42" s="43" t="s">
        <v>457</v>
      </c>
      <c r="C42" s="9" t="s">
        <v>182</v>
      </c>
      <c r="D42" s="9" t="s">
        <v>171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10" t="s">
        <v>37</v>
      </c>
      <c r="K42" s="5" t="str">
        <f>"INSERT INTO m_monster VALUES ("&amp;"'"&amp;B42&amp;"'"&amp;","&amp;"'"&amp;C42&amp;"'"&amp;","&amp;VLOOKUP(D42,コード!$C$48:$I$101,2,FALSE)&amp;","&amp;E42&amp;","&amp;F42&amp;","&amp;G42&amp;","&amp;VLOOKUP(H42,コード!$C$5:$I$11,2,FALSE)&amp;");"</f>
        <v>INSERT INTO m_monster VALUES ('monster037','ラビリオン',,120,14,20,);</v>
      </c>
    </row>
    <row r="43" spans="2:11">
      <c r="B43" s="43" t="s">
        <v>458</v>
      </c>
      <c r="C43" s="9" t="s">
        <v>183</v>
      </c>
      <c r="D43" s="9" t="s">
        <v>171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10" t="s">
        <v>37</v>
      </c>
      <c r="K43" s="5" t="str">
        <f>"INSERT INTO m_monster VALUES ("&amp;"'"&amp;B43&amp;"'"&amp;","&amp;"'"&amp;C43&amp;"'"&amp;","&amp;VLOOKUP(D43,コード!$C$48:$I$101,2,FALSE)&amp;","&amp;E43&amp;","&amp;F43&amp;","&amp;G43&amp;","&amp;VLOOKUP(H43,コード!$C$5:$I$11,2,FALSE)&amp;");"</f>
        <v>INSERT INTO m_monster VALUES ('monster038','キングラビ',,144,18,26,);</v>
      </c>
    </row>
    <row r="44" spans="2:11">
      <c r="B44" s="43" t="s">
        <v>459</v>
      </c>
      <c r="C44" s="9" t="s">
        <v>184</v>
      </c>
      <c r="D44" s="9" t="s">
        <v>171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10" t="s">
        <v>37</v>
      </c>
      <c r="K44" s="5" t="str">
        <f>"INSERT INTO m_monster VALUES ("&amp;"'"&amp;B44&amp;"'"&amp;","&amp;"'"&amp;C44&amp;"'"&amp;","&amp;VLOOKUP(D44,コード!$C$48:$I$101,2,FALSE)&amp;","&amp;E44&amp;","&amp;F44&amp;","&amp;G44&amp;","&amp;VLOOKUP(H44,コード!$C$5:$I$11,2,FALSE)&amp;");"</f>
        <v>INSERT INTO m_monster VALUES ('monster039','グレートラビ',,172,23,33,);</v>
      </c>
    </row>
    <row r="45" spans="2:11">
      <c r="B45" s="43" t="s">
        <v>460</v>
      </c>
      <c r="C45" s="9" t="s">
        <v>98</v>
      </c>
      <c r="D45" s="9" t="s">
        <v>194</v>
      </c>
      <c r="E45" s="10">
        <v>100</v>
      </c>
      <c r="F45" s="10">
        <v>10</v>
      </c>
      <c r="G45" s="10">
        <v>18</v>
      </c>
      <c r="H45" s="10" t="s">
        <v>34</v>
      </c>
      <c r="K45" s="5" t="str">
        <f>"INSERT INTO m_monster VALUES ("&amp;"'"&amp;B45&amp;"'"&amp;","&amp;"'"&amp;C45&amp;"'"&amp;","&amp;VLOOKUP(D45,コード!$C$48:$I$101,2,FALSE)&amp;","&amp;E45&amp;","&amp;F45&amp;","&amp;G45&amp;","&amp;VLOOKUP(H45,コード!$C$5:$I$11,2,FALSE)&amp;");"</f>
        <v>INSERT INTO m_monster VALUES ('monster040','スライム',,100,10,18,);</v>
      </c>
    </row>
    <row r="46" spans="2:11">
      <c r="B46" s="43" t="s">
        <v>461</v>
      </c>
      <c r="C46" s="9" t="s">
        <v>226</v>
      </c>
      <c r="D46" s="9" t="s">
        <v>194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10" t="s">
        <v>150</v>
      </c>
      <c r="K46" s="5" t="str">
        <f>"INSERT INTO m_monster VALUES ("&amp;"'"&amp;B46&amp;"'"&amp;","&amp;"'"&amp;C46&amp;"'"&amp;","&amp;VLOOKUP(D46,コード!$C$48:$I$101,2,FALSE)&amp;","&amp;E46&amp;","&amp;F46&amp;","&amp;G46&amp;","&amp;VLOOKUP(H46,コード!$C$5:$I$11,2,FALSE)&amp;");"</f>
        <v>INSERT INTO m_monster VALUES ('monster041','ブルーババロア',,120,13,23,);</v>
      </c>
    </row>
    <row r="47" spans="2:11">
      <c r="B47" s="43" t="s">
        <v>462</v>
      </c>
      <c r="C47" s="9" t="s">
        <v>227</v>
      </c>
      <c r="D47" s="9" t="s">
        <v>194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10" t="s">
        <v>151</v>
      </c>
      <c r="K47" s="5" t="str">
        <f>"INSERT INTO m_monster VALUES ("&amp;"'"&amp;B47&amp;"'"&amp;","&amp;"'"&amp;C47&amp;"'"&amp;","&amp;VLOOKUP(D47,コード!$C$48:$I$101,2,FALSE)&amp;","&amp;E47&amp;","&amp;F47&amp;","&amp;G47&amp;","&amp;VLOOKUP(H47,コード!$C$5:$I$11,2,FALSE)&amp;");"</f>
        <v>INSERT INTO m_monster VALUES ('monster042','レッドマシュマロ',,141,16,29,);</v>
      </c>
    </row>
    <row r="48" spans="2:11">
      <c r="B48" s="43" t="s">
        <v>463</v>
      </c>
      <c r="C48" s="9" t="s">
        <v>186</v>
      </c>
      <c r="D48" s="9" t="s">
        <v>186</v>
      </c>
      <c r="E48" s="10">
        <v>110</v>
      </c>
      <c r="F48" s="10">
        <v>15</v>
      </c>
      <c r="G48" s="10">
        <v>13</v>
      </c>
      <c r="H48" s="10" t="s">
        <v>36</v>
      </c>
      <c r="K48" s="5" t="str">
        <f>"INSERT INTO m_monster VALUES ("&amp;"'"&amp;B48&amp;"'"&amp;","&amp;"'"&amp;C48&amp;"'"&amp;","&amp;VLOOKUP(D48,コード!$C$48:$I$101,2,FALSE)&amp;","&amp;E48&amp;","&amp;F48&amp;","&amp;G48&amp;","&amp;VLOOKUP(H48,コード!$C$5:$I$11,2,FALSE)&amp;");"</f>
        <v>INSERT INTO m_monster VALUES ('monster043','イビルソード',,110,15,13,);</v>
      </c>
    </row>
    <row r="49" spans="2:11">
      <c r="B49" s="43" t="s">
        <v>464</v>
      </c>
      <c r="C49" s="8" t="s">
        <v>228</v>
      </c>
      <c r="D49" s="9" t="s">
        <v>186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10" t="s">
        <v>36</v>
      </c>
      <c r="K49" s="5" t="str">
        <f>"INSERT INTO m_monster VALUES ("&amp;"'"&amp;B49&amp;"'"&amp;","&amp;"'"&amp;C49&amp;"'"&amp;","&amp;VLOOKUP(D49,コード!$C$48:$I$101,2,FALSE)&amp;","&amp;E49&amp;","&amp;F49&amp;","&amp;G49&amp;","&amp;VLOOKUP(H49,コード!$C$5:$I$11,2,FALSE)&amp;");"</f>
        <v>INSERT INTO m_monster VALUES ('monster044','イビルウェポン',,132,19,16,);</v>
      </c>
    </row>
    <row r="50" spans="2:11">
      <c r="B50" s="43" t="s">
        <v>465</v>
      </c>
      <c r="C50" s="8" t="s">
        <v>229</v>
      </c>
      <c r="D50" s="9" t="s">
        <v>186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10" t="s">
        <v>37</v>
      </c>
      <c r="K50" s="5" t="str">
        <f>"INSERT INTO m_monster VALUES ("&amp;"'"&amp;B50&amp;"'"&amp;","&amp;"'"&amp;C50&amp;"'"&amp;","&amp;VLOOKUP(D50,コード!$C$48:$I$101,2,FALSE)&amp;","&amp;E50&amp;","&amp;F50&amp;","&amp;G50&amp;","&amp;VLOOKUP(H50,コード!$C$5:$I$11,2,FALSE)&amp;");"</f>
        <v>INSERT INTO m_monster VALUES ('monster045','エレメントソード',,158,24,20,);</v>
      </c>
    </row>
    <row r="51" spans="2:11">
      <c r="B51" s="43" t="s">
        <v>466</v>
      </c>
      <c r="C51" s="8" t="s">
        <v>238</v>
      </c>
      <c r="D51" s="8" t="s">
        <v>269</v>
      </c>
      <c r="E51" s="10">
        <v>110</v>
      </c>
      <c r="F51" s="10">
        <v>11</v>
      </c>
      <c r="G51" s="10">
        <v>19</v>
      </c>
      <c r="H51" s="10" t="s">
        <v>150</v>
      </c>
      <c r="K51" s="5" t="str">
        <f>"INSERT INTO m_monster VALUES ("&amp;"'"&amp;B51&amp;"'"&amp;","&amp;"'"&amp;C51&amp;"'"&amp;","&amp;VLOOKUP(D51,コード!$C$48:$I$101,2,FALSE)&amp;","&amp;E51&amp;","&amp;F51&amp;","&amp;G51&amp;","&amp;VLOOKUP(H51,コード!$C$5:$I$11,2,FALSE)&amp;");"</f>
        <v>INSERT INTO m_monster VALUES ('monster046','ケルベロス',,110,11,19,);</v>
      </c>
    </row>
    <row r="52" spans="2:11">
      <c r="B52" s="43" t="s">
        <v>467</v>
      </c>
      <c r="C52" s="8" t="s">
        <v>270</v>
      </c>
      <c r="D52" s="8" t="s">
        <v>269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10" t="s">
        <v>150</v>
      </c>
      <c r="K52" s="5" t="str">
        <f>"INSERT INTO m_monster VALUES ("&amp;"'"&amp;B52&amp;"'"&amp;","&amp;"'"&amp;C52&amp;"'"&amp;","&amp;VLOOKUP(D52,コード!$C$48:$I$101,2,FALSE)&amp;","&amp;E52&amp;","&amp;F52&amp;","&amp;G52&amp;","&amp;VLOOKUP(H52,コード!$C$5:$I$11,2,FALSE)&amp;");"</f>
        <v>INSERT INTO m_monster VALUES ('monster047','バウンドウルフ',,132,14,24,);</v>
      </c>
    </row>
    <row r="53" spans="2:11">
      <c r="B53" s="43" t="s">
        <v>468</v>
      </c>
      <c r="C53" s="8" t="s">
        <v>271</v>
      </c>
      <c r="D53" s="8" t="s">
        <v>269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10" t="s">
        <v>150</v>
      </c>
      <c r="K53" s="5" t="str">
        <f>"INSERT INTO m_monster VALUES ("&amp;"'"&amp;B53&amp;"'"&amp;","&amp;"'"&amp;C53&amp;"'"&amp;","&amp;VLOOKUP(D53,コード!$C$48:$I$101,2,FALSE)&amp;","&amp;E53&amp;","&amp;F53&amp;","&amp;G53&amp;","&amp;VLOOKUP(H53,コード!$C$5:$I$11,2,FALSE)&amp;");"</f>
        <v>INSERT INTO m_monster VALUES ('monster048','ジャッカル',,158,18,31,);</v>
      </c>
    </row>
    <row r="54" spans="2:11">
      <c r="B54" s="43" t="s">
        <v>469</v>
      </c>
      <c r="C54" s="8" t="s">
        <v>274</v>
      </c>
      <c r="D54" s="8" t="s">
        <v>273</v>
      </c>
      <c r="E54" s="10">
        <v>120</v>
      </c>
      <c r="F54" s="10">
        <v>16</v>
      </c>
      <c r="G54" s="10">
        <v>14</v>
      </c>
      <c r="H54" s="10" t="s">
        <v>151</v>
      </c>
      <c r="K54" s="5" t="str">
        <f>"INSERT INTO m_monster VALUES ("&amp;"'"&amp;B54&amp;"'"&amp;","&amp;"'"&amp;C54&amp;"'"&amp;","&amp;VLOOKUP(D54,コード!$C$48:$I$101,2,FALSE)&amp;","&amp;E54&amp;","&amp;F54&amp;","&amp;G54&amp;","&amp;VLOOKUP(H54,コード!$C$5:$I$11,2,FALSE)&amp;");"</f>
        <v>INSERT INTO m_monster VALUES ('monster049','ダックソルジャー',,120,16,14,);</v>
      </c>
    </row>
    <row r="55" spans="2:11">
      <c r="B55" s="43" t="s">
        <v>470</v>
      </c>
      <c r="C55" s="8" t="s">
        <v>235</v>
      </c>
      <c r="D55" s="8" t="s">
        <v>273</v>
      </c>
      <c r="E55" s="10">
        <v>160</v>
      </c>
      <c r="F55" s="10">
        <v>24</v>
      </c>
      <c r="G55" s="10">
        <v>20</v>
      </c>
      <c r="H55" s="10" t="s">
        <v>151</v>
      </c>
      <c r="K55" s="5" t="str">
        <f>"INSERT INTO m_monster VALUES ("&amp;"'"&amp;B55&amp;"'"&amp;","&amp;"'"&amp;C55&amp;"'"&amp;","&amp;VLOOKUP(D55,コード!$C$48:$I$101,2,FALSE)&amp;","&amp;E55&amp;","&amp;F55&amp;","&amp;G55&amp;","&amp;VLOOKUP(H55,コード!$C$5:$I$11,2,FALSE)&amp;");"</f>
        <v>INSERT INTO m_monster VALUES ('monster050','ダックジェネラル',,160,24,20,);</v>
      </c>
    </row>
    <row r="56" spans="2:11">
      <c r="B56" s="43" t="s">
        <v>471</v>
      </c>
      <c r="C56" s="8" t="s">
        <v>237</v>
      </c>
      <c r="D56" s="8" t="s">
        <v>237</v>
      </c>
      <c r="E56" s="10">
        <v>130</v>
      </c>
      <c r="F56" s="10">
        <v>14</v>
      </c>
      <c r="G56" s="10">
        <v>18</v>
      </c>
      <c r="H56" s="10" t="s">
        <v>34</v>
      </c>
      <c r="K56" s="5" t="str">
        <f>"INSERT INTO m_monster VALUES ("&amp;"'"&amp;B56&amp;"'"&amp;","&amp;"'"&amp;C56&amp;"'"&amp;","&amp;VLOOKUP(D56,コード!$C$48:$I$101,2,FALSE)&amp;","&amp;E56&amp;","&amp;F56&amp;","&amp;G56&amp;","&amp;VLOOKUP(H56,コード!$C$5:$I$11,2,FALSE)&amp;");"</f>
        <v>INSERT INTO m_monster VALUES ('monster051','モールベア',,130,14,18,);</v>
      </c>
    </row>
    <row r="57" spans="2:11">
      <c r="B57" s="43" t="s">
        <v>472</v>
      </c>
      <c r="C57" s="8" t="s">
        <v>275</v>
      </c>
      <c r="D57" s="8" t="s">
        <v>237</v>
      </c>
      <c r="E57" s="10">
        <v>170</v>
      </c>
      <c r="F57" s="10">
        <v>18</v>
      </c>
      <c r="G57" s="10">
        <v>26</v>
      </c>
      <c r="H57" s="10" t="s">
        <v>34</v>
      </c>
      <c r="K57" s="5" t="str">
        <f>"INSERT INTO m_monster VALUES ("&amp;"'"&amp;B57&amp;"'"&amp;","&amp;"'"&amp;C57&amp;"'"&amp;","&amp;VLOOKUP(D57,コード!$C$48:$I$101,2,FALSE)&amp;","&amp;E57&amp;","&amp;F57&amp;","&amp;G57&amp;","&amp;VLOOKUP(H57,コード!$C$5:$I$11,2,FALSE)&amp;");"</f>
        <v>INSERT INTO m_monster VALUES ('monster052','ニードリオン',,170,18,26,);</v>
      </c>
    </row>
    <row r="58" spans="2:11">
      <c r="B58" s="43" t="s">
        <v>473</v>
      </c>
      <c r="C58" s="8" t="s">
        <v>239</v>
      </c>
      <c r="D58" s="8" t="s">
        <v>239</v>
      </c>
      <c r="E58" s="10">
        <v>120</v>
      </c>
      <c r="F58" s="10">
        <v>13</v>
      </c>
      <c r="G58" s="10">
        <v>16</v>
      </c>
      <c r="H58" s="10" t="s">
        <v>35</v>
      </c>
      <c r="K58" s="5" t="str">
        <f>"INSERT INTO m_monster VALUES ("&amp;"'"&amp;B58&amp;"'"&amp;","&amp;"'"&amp;C58&amp;"'"&amp;","&amp;VLOOKUP(D58,コード!$C$48:$I$101,2,FALSE)&amp;","&amp;E58&amp;","&amp;F58&amp;","&amp;G58&amp;","&amp;VLOOKUP(H58,コード!$C$5:$I$11,2,FALSE)&amp;");"</f>
        <v>INSERT INTO m_monster VALUES ('monster053','ギャルビー',,120,13,16,);</v>
      </c>
    </row>
    <row r="59" spans="2:11">
      <c r="B59" s="43" t="s">
        <v>474</v>
      </c>
      <c r="C59" s="8" t="s">
        <v>276</v>
      </c>
      <c r="D59" s="8" t="s">
        <v>239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10" t="s">
        <v>35</v>
      </c>
      <c r="K59" s="5" t="str">
        <f>"INSERT INTO m_monster VALUES ("&amp;"'"&amp;B59&amp;"'"&amp;","&amp;"'"&amp;C59&amp;"'"&amp;","&amp;VLOOKUP(D59,コード!$C$48:$I$101,2,FALSE)&amp;","&amp;E59&amp;","&amp;F59&amp;","&amp;G59&amp;","&amp;VLOOKUP(H59,コード!$C$5:$I$11,2,FALSE)&amp;");"</f>
        <v>INSERT INTO m_monster VALUES ('monster054','レディビー',,144,16,20,);</v>
      </c>
    </row>
    <row r="60" spans="2:11">
      <c r="B60" s="43" t="s">
        <v>475</v>
      </c>
      <c r="C60" s="8" t="s">
        <v>277</v>
      </c>
      <c r="D60" s="8" t="s">
        <v>239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10" t="s">
        <v>35</v>
      </c>
      <c r="K60" s="5" t="str">
        <f>"INSERT INTO m_monster VALUES ("&amp;"'"&amp;B60&amp;"'"&amp;","&amp;"'"&amp;C60&amp;"'"&amp;","&amp;VLOOKUP(D60,コード!$C$48:$I$101,2,FALSE)&amp;","&amp;E60&amp;","&amp;F60&amp;","&amp;G60&amp;","&amp;VLOOKUP(H60,コード!$C$5:$I$11,2,FALSE)&amp;");"</f>
        <v>INSERT INTO m_monster VALUES ('monster055','クインビー',,172,20,26,);</v>
      </c>
    </row>
    <row r="61" spans="2:11">
      <c r="B61" s="43" t="s">
        <v>476</v>
      </c>
      <c r="C61" s="8" t="s">
        <v>241</v>
      </c>
      <c r="D61" s="8" t="s">
        <v>241</v>
      </c>
      <c r="E61" s="10">
        <v>130</v>
      </c>
      <c r="F61" s="10">
        <v>16</v>
      </c>
      <c r="G61" s="10">
        <v>16</v>
      </c>
      <c r="H61" s="10" t="s">
        <v>150</v>
      </c>
      <c r="K61" s="5" t="str">
        <f>"INSERT INTO m_monster VALUES ("&amp;"'"&amp;B61&amp;"'"&amp;","&amp;"'"&amp;C61&amp;"'"&amp;","&amp;VLOOKUP(D61,コード!$C$48:$I$101,2,FALSE)&amp;","&amp;E61&amp;","&amp;F61&amp;","&amp;G61&amp;","&amp;VLOOKUP(H61,コード!$C$5:$I$11,2,FALSE)&amp;");"</f>
        <v>INSERT INTO m_monster VALUES ('monster056','サハギン',,130,16,16,);</v>
      </c>
    </row>
    <row r="62" spans="2:11">
      <c r="B62" s="43" t="s">
        <v>477</v>
      </c>
      <c r="C62" s="8" t="s">
        <v>278</v>
      </c>
      <c r="D62" s="8" t="s">
        <v>241</v>
      </c>
      <c r="E62" s="10">
        <v>150</v>
      </c>
      <c r="F62" s="10">
        <v>22</v>
      </c>
      <c r="G62" s="10">
        <v>19</v>
      </c>
      <c r="H62" s="10" t="s">
        <v>150</v>
      </c>
      <c r="K62" s="5" t="str">
        <f>"INSERT INTO m_monster VALUES ("&amp;"'"&amp;B62&amp;"'"&amp;","&amp;"'"&amp;C62&amp;"'"&amp;","&amp;VLOOKUP(D62,コード!$C$48:$I$101,2,FALSE)&amp;","&amp;E62&amp;","&amp;F62&amp;","&amp;G62&amp;","&amp;VLOOKUP(H62,コード!$C$5:$I$11,2,FALSE)&amp;");"</f>
        <v>INSERT INTO m_monster VALUES ('monster057','プチポセイドン',,150,22,19,);</v>
      </c>
    </row>
    <row r="63" spans="2:11">
      <c r="B63" s="43" t="s">
        <v>478</v>
      </c>
      <c r="C63" s="8" t="s">
        <v>199</v>
      </c>
      <c r="D63" s="8" t="s">
        <v>199</v>
      </c>
      <c r="E63" s="10">
        <v>130</v>
      </c>
      <c r="F63" s="10">
        <v>15</v>
      </c>
      <c r="G63" s="10">
        <v>11</v>
      </c>
      <c r="H63" s="10" t="s">
        <v>299</v>
      </c>
      <c r="K63" s="5" t="str">
        <f>"INSERT INTO m_monster VALUES ("&amp;"'"&amp;B63&amp;"'"&amp;","&amp;"'"&amp;C63&amp;"'"&amp;","&amp;VLOOKUP(D63,コード!$C$48:$I$101,2,FALSE)&amp;","&amp;E63&amp;","&amp;F63&amp;","&amp;G63&amp;","&amp;VLOOKUP(H63,コード!$C$5:$I$11,2,FALSE)&amp;");"</f>
        <v>INSERT INTO m_monster VALUES ('monster058','クロウラー',,130,15,11,);</v>
      </c>
    </row>
    <row r="64" spans="2:11">
      <c r="B64" s="43" t="s">
        <v>479</v>
      </c>
      <c r="C64" s="8" t="s">
        <v>279</v>
      </c>
      <c r="D64" s="8" t="s">
        <v>199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10" t="s">
        <v>34</v>
      </c>
      <c r="K64" s="5" t="str">
        <f>"INSERT INTO m_monster VALUES ("&amp;"'"&amp;B64&amp;"'"&amp;","&amp;"'"&amp;C64&amp;"'"&amp;","&amp;VLOOKUP(D64,コード!$C$48:$I$101,2,FALSE)&amp;","&amp;E64&amp;","&amp;F64&amp;","&amp;G64&amp;","&amp;VLOOKUP(H64,コード!$C$5:$I$11,2,FALSE)&amp;");"</f>
        <v>INSERT INTO m_monster VALUES ('monster059','メガクロウラー',,156,19,14,);</v>
      </c>
    </row>
    <row r="65" spans="2:11">
      <c r="B65" s="43" t="s">
        <v>480</v>
      </c>
      <c r="C65" s="8" t="s">
        <v>280</v>
      </c>
      <c r="D65" s="8" t="s">
        <v>199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10" t="s">
        <v>34</v>
      </c>
      <c r="K65" s="5" t="str">
        <f>"INSERT INTO m_monster VALUES ("&amp;"'"&amp;B65&amp;"'"&amp;","&amp;"'"&amp;C65&amp;"'"&amp;","&amp;VLOOKUP(D65,コード!$C$48:$I$101,2,FALSE)&amp;","&amp;E65&amp;","&amp;F65&amp;","&amp;G65&amp;","&amp;VLOOKUP(H65,コード!$C$5:$I$11,2,FALSE)&amp;");"</f>
        <v>INSERT INTO m_monster VALUES ('monster060','ギガクロウラー',,187,24,18,);</v>
      </c>
    </row>
    <row r="66" spans="2:11">
      <c r="B66" s="43" t="s">
        <v>481</v>
      </c>
      <c r="C66" s="8" t="s">
        <v>242</v>
      </c>
      <c r="D66" s="8" t="s">
        <v>282</v>
      </c>
      <c r="E66" s="10">
        <v>110</v>
      </c>
      <c r="F66" s="10">
        <v>12</v>
      </c>
      <c r="G66" s="10">
        <v>10</v>
      </c>
      <c r="H66" s="10" t="s">
        <v>34</v>
      </c>
      <c r="K66" s="5" t="str">
        <f>"INSERT INTO m_monster VALUES ("&amp;"'"&amp;B66&amp;"'"&amp;","&amp;"'"&amp;C66&amp;"'"&amp;","&amp;VLOOKUP(D66,コード!$C$48:$I$101,2,FALSE)&amp;","&amp;E66&amp;","&amp;F66&amp;","&amp;G66&amp;","&amp;VLOOKUP(H66,コード!$C$5:$I$11,2,FALSE)&amp;");"</f>
        <v>INSERT INTO m_monster VALUES ('monster061','ぱっくんオタマ',,110,12,10,);</v>
      </c>
    </row>
    <row r="67" spans="2:11">
      <c r="B67" s="43" t="s">
        <v>482</v>
      </c>
      <c r="C67" s="8" t="s">
        <v>283</v>
      </c>
      <c r="D67" s="8" t="s">
        <v>282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10" t="s">
        <v>34</v>
      </c>
      <c r="K67" s="5" t="str">
        <f>"INSERT INTO m_monster VALUES ("&amp;"'"&amp;B67&amp;"'"&amp;","&amp;"'"&amp;C67&amp;"'"&amp;","&amp;VLOOKUP(D67,コード!$C$48:$I$101,2,FALSE)&amp;","&amp;E67&amp;","&amp;F67&amp;","&amp;G67&amp;","&amp;VLOOKUP(H67,コード!$C$5:$I$11,2,FALSE)&amp;");"</f>
        <v>INSERT INTO m_monster VALUES ('monster062','ぱっくりオタマ',,132,15,13,);</v>
      </c>
    </row>
    <row r="68" spans="2:11">
      <c r="B68" s="43" t="s">
        <v>483</v>
      </c>
      <c r="C68" s="8" t="s">
        <v>284</v>
      </c>
      <c r="D68" s="8" t="s">
        <v>282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10" t="s">
        <v>151</v>
      </c>
      <c r="K68" s="5" t="str">
        <f>"INSERT INTO m_monster VALUES ("&amp;"'"&amp;B68&amp;"'"&amp;","&amp;"'"&amp;C68&amp;"'"&amp;","&amp;VLOOKUP(D68,コード!$C$48:$I$101,2,FALSE)&amp;","&amp;E68&amp;","&amp;F68&amp;","&amp;G68&amp;","&amp;VLOOKUP(H68,コード!$C$5:$I$11,2,FALSE)&amp;");"</f>
        <v>INSERT INTO m_monster VALUES ('monster063','ぱっくんトカゲ',,158,19,16,);</v>
      </c>
    </row>
    <row r="69" spans="2:11">
      <c r="B69" s="43" t="s">
        <v>484</v>
      </c>
      <c r="C69" s="8" t="s">
        <v>285</v>
      </c>
      <c r="D69" s="8" t="s">
        <v>282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10" t="s">
        <v>151</v>
      </c>
      <c r="K69" s="5" t="str">
        <f>"INSERT INTO m_monster VALUES ("&amp;"'"&amp;B69&amp;"'"&amp;","&amp;"'"&amp;C69&amp;"'"&amp;","&amp;VLOOKUP(D69,コード!$C$48:$I$101,2,FALSE)&amp;","&amp;E69&amp;","&amp;F69&amp;","&amp;G69&amp;","&amp;VLOOKUP(H69,コード!$C$5:$I$11,2,FALSE)&amp;");"</f>
        <v>INSERT INTO m_monster VALUES ('monster064','ぱっくんドラゴン',,189,24,20,);</v>
      </c>
    </row>
    <row r="70" spans="2:11">
      <c r="B70" s="43" t="s">
        <v>485</v>
      </c>
      <c r="C70" s="8" t="s">
        <v>244</v>
      </c>
      <c r="D70" s="8" t="s">
        <v>244</v>
      </c>
      <c r="E70" s="10">
        <v>120</v>
      </c>
      <c r="F70" s="10">
        <v>13</v>
      </c>
      <c r="G70" s="10">
        <v>17</v>
      </c>
      <c r="H70" s="10" t="s">
        <v>36</v>
      </c>
      <c r="K70" s="5" t="str">
        <f>"INSERT INTO m_monster VALUES ("&amp;"'"&amp;B70&amp;"'"&amp;","&amp;"'"&amp;C70&amp;"'"&amp;","&amp;VLOOKUP(D70,コード!$C$48:$I$101,2,FALSE)&amp;","&amp;E70&amp;","&amp;F70&amp;","&amp;G70&amp;","&amp;VLOOKUP(H70,コード!$C$5:$I$11,2,FALSE)&amp;");"</f>
        <v>INSERT INTO m_monster VALUES ('monster065','チビデビル',,120,13,17,);</v>
      </c>
    </row>
    <row r="71" spans="2:11">
      <c r="B71" s="43" t="s">
        <v>486</v>
      </c>
      <c r="C71" s="8" t="s">
        <v>288</v>
      </c>
      <c r="D71" s="8" t="s">
        <v>244</v>
      </c>
      <c r="E71" s="10">
        <v>160</v>
      </c>
      <c r="F71" s="10">
        <v>18</v>
      </c>
      <c r="G71" s="10">
        <v>20</v>
      </c>
      <c r="H71" s="10" t="s">
        <v>36</v>
      </c>
      <c r="K71" s="5" t="str">
        <f>"INSERT INTO m_monster VALUES ("&amp;"'"&amp;B71&amp;"'"&amp;","&amp;"'"&amp;C71&amp;"'"&amp;","&amp;VLOOKUP(D71,コード!$C$48:$I$101,2,FALSE)&amp;","&amp;E71&amp;","&amp;F71&amp;","&amp;G71&amp;","&amp;VLOOKUP(H71,コード!$C$5:$I$11,2,FALSE)&amp;");"</f>
        <v>INSERT INTO m_monster VALUES ('monster066','グレムリン',,160,18,20,);</v>
      </c>
    </row>
    <row r="72" spans="2:11">
      <c r="B72" s="43" t="s">
        <v>487</v>
      </c>
      <c r="C72" s="8" t="s">
        <v>246</v>
      </c>
      <c r="D72" s="8" t="s">
        <v>246</v>
      </c>
      <c r="E72" s="10">
        <v>140</v>
      </c>
      <c r="F72" s="10">
        <v>18</v>
      </c>
      <c r="G72" s="10">
        <v>17</v>
      </c>
      <c r="H72" s="10" t="s">
        <v>36</v>
      </c>
      <c r="K72" s="5" t="str">
        <f>"INSERT INTO m_monster VALUES ("&amp;"'"&amp;B72&amp;"'"&amp;","&amp;"'"&amp;C72&amp;"'"&amp;","&amp;VLOOKUP(D72,コード!$C$48:$I$101,2,FALSE)&amp;","&amp;E72&amp;","&amp;F72&amp;","&amp;G72&amp;","&amp;VLOOKUP(H72,コード!$C$5:$I$11,2,FALSE)&amp;");"</f>
        <v>INSERT INTO m_monster VALUES ('monster067','オーガボックス',,140,18,17,);</v>
      </c>
    </row>
    <row r="73" spans="2:11">
      <c r="B73" s="43" t="s">
        <v>488</v>
      </c>
      <c r="C73" s="8" t="s">
        <v>289</v>
      </c>
      <c r="D73" s="8" t="s">
        <v>246</v>
      </c>
      <c r="E73" s="10">
        <v>170</v>
      </c>
      <c r="F73" s="10">
        <v>23</v>
      </c>
      <c r="G73" s="10">
        <v>20</v>
      </c>
      <c r="H73" s="10" t="s">
        <v>36</v>
      </c>
      <c r="K73" s="5" t="str">
        <f>"INSERT INTO m_monster VALUES ("&amp;"'"&amp;B73&amp;"'"&amp;","&amp;"'"&amp;C73&amp;"'"&amp;","&amp;VLOOKUP(D73,コード!$C$48:$I$101,2,FALSE)&amp;","&amp;E73&amp;","&amp;F73&amp;","&amp;G73&amp;","&amp;VLOOKUP(H73,コード!$C$5:$I$11,2,FALSE)&amp;");"</f>
        <v>INSERT INTO m_monster VALUES ('monster068','カイザーミミック',,170,23,20,);</v>
      </c>
    </row>
    <row r="74" spans="2:11">
      <c r="B74" s="43" t="s">
        <v>489</v>
      </c>
      <c r="C74" s="8" t="s">
        <v>248</v>
      </c>
      <c r="D74" s="8" t="s">
        <v>248</v>
      </c>
      <c r="E74" s="10">
        <v>140</v>
      </c>
      <c r="F74" s="10">
        <v>15</v>
      </c>
      <c r="G74" s="10">
        <v>12</v>
      </c>
      <c r="H74" s="10" t="s">
        <v>151</v>
      </c>
      <c r="K74" s="5" t="str">
        <f>"INSERT INTO m_monster VALUES ("&amp;"'"&amp;B74&amp;"'"&amp;","&amp;"'"&amp;C74&amp;"'"&amp;","&amp;VLOOKUP(D74,コード!$C$48:$I$101,2,FALSE)&amp;","&amp;E74&amp;","&amp;F74&amp;","&amp;G74&amp;","&amp;VLOOKUP(H74,コード!$C$5:$I$11,2,FALSE)&amp;");"</f>
        <v>INSERT INTO m_monster VALUES ('monster069','バレッテ',,140,15,12,);</v>
      </c>
    </row>
    <row r="75" spans="2:11">
      <c r="B75" s="43" t="s">
        <v>490</v>
      </c>
      <c r="C75" s="8" t="s">
        <v>290</v>
      </c>
      <c r="D75" s="8" t="s">
        <v>248</v>
      </c>
      <c r="E75" s="10">
        <v>180</v>
      </c>
      <c r="F75" s="10">
        <v>19</v>
      </c>
      <c r="G75" s="10">
        <v>14</v>
      </c>
      <c r="H75" s="10" t="s">
        <v>151</v>
      </c>
      <c r="K75" s="5" t="str">
        <f>"INSERT INTO m_monster VALUES ("&amp;"'"&amp;B75&amp;"'"&amp;","&amp;"'"&amp;C75&amp;"'"&amp;","&amp;VLOOKUP(D75,コード!$C$48:$I$101,2,FALSE)&amp;","&amp;E75&amp;","&amp;F75&amp;","&amp;G75&amp;","&amp;VLOOKUP(H75,コード!$C$5:$I$11,2,FALSE)&amp;");"</f>
        <v>INSERT INTO m_monster VALUES ('monster070','ゴールドバレッテ',,180,19,14,);</v>
      </c>
    </row>
    <row r="76" spans="2:11">
      <c r="B76" s="43" t="s">
        <v>491</v>
      </c>
      <c r="C76" s="8" t="s">
        <v>250</v>
      </c>
      <c r="D76" s="8" t="s">
        <v>250</v>
      </c>
      <c r="E76" s="10">
        <v>110</v>
      </c>
      <c r="F76" s="10">
        <v>12</v>
      </c>
      <c r="G76" s="10">
        <v>15</v>
      </c>
      <c r="H76" s="10" t="s">
        <v>34</v>
      </c>
      <c r="K76" s="5" t="str">
        <f>"INSERT INTO m_monster VALUES ("&amp;"'"&amp;B76&amp;"'"&amp;","&amp;"'"&amp;C76&amp;"'"&amp;","&amp;VLOOKUP(D76,コード!$C$48:$I$101,2,FALSE)&amp;","&amp;E76&amp;","&amp;F76&amp;","&amp;G76&amp;","&amp;VLOOKUP(H76,コード!$C$5:$I$11,2,FALSE)&amp;");"</f>
        <v>INSERT INTO m_monster VALUES ('monster071','バシリスク',,110,12,15,);</v>
      </c>
    </row>
    <row r="77" spans="2:11">
      <c r="B77" s="43" t="s">
        <v>492</v>
      </c>
      <c r="C77" s="8" t="s">
        <v>291</v>
      </c>
      <c r="D77" s="8" t="s">
        <v>250</v>
      </c>
      <c r="E77" s="10">
        <v>150</v>
      </c>
      <c r="F77" s="10">
        <v>18</v>
      </c>
      <c r="G77" s="10">
        <v>22</v>
      </c>
      <c r="H77" s="10" t="s">
        <v>151</v>
      </c>
      <c r="K77" s="5" t="str">
        <f>"INSERT INTO m_monster VALUES ("&amp;"'"&amp;B77&amp;"'"&amp;","&amp;"'"&amp;C77&amp;"'"&amp;","&amp;VLOOKUP(D77,コード!$C$48:$I$101,2,FALSE)&amp;","&amp;E77&amp;","&amp;F77&amp;","&amp;G77&amp;","&amp;VLOOKUP(H77,コード!$C$5:$I$11,2,FALSE)&amp;");"</f>
        <v>INSERT INTO m_monster VALUES ('monster072','ファイアドレイク',,150,18,22,);</v>
      </c>
    </row>
    <row r="78" spans="2:11">
      <c r="B78" s="43" t="s">
        <v>493</v>
      </c>
      <c r="C78" s="8" t="s">
        <v>252</v>
      </c>
      <c r="D78" s="8" t="s">
        <v>252</v>
      </c>
      <c r="E78" s="10">
        <v>130</v>
      </c>
      <c r="F78" s="10">
        <v>13</v>
      </c>
      <c r="G78" s="10">
        <v>17</v>
      </c>
      <c r="H78" s="10" t="s">
        <v>36</v>
      </c>
      <c r="K78" s="5" t="str">
        <f>"INSERT INTO m_monster VALUES ("&amp;"'"&amp;B78&amp;"'"&amp;","&amp;"'"&amp;C78&amp;"'"&amp;","&amp;VLOOKUP(D78,コード!$C$48:$I$101,2,FALSE)&amp;","&amp;E78&amp;","&amp;F78&amp;","&amp;G78&amp;","&amp;VLOOKUP(H78,コード!$C$5:$I$11,2,FALSE)&amp;");"</f>
        <v>INSERT INTO m_monster VALUES ('monster073','スペクター',,130,13,17,);</v>
      </c>
    </row>
    <row r="79" spans="2:11">
      <c r="B79" s="43" t="s">
        <v>494</v>
      </c>
      <c r="C79" s="8" t="s">
        <v>253</v>
      </c>
      <c r="D79" s="8" t="s">
        <v>252</v>
      </c>
      <c r="E79" s="10">
        <v>160</v>
      </c>
      <c r="F79" s="10">
        <v>17</v>
      </c>
      <c r="G79" s="10">
        <v>20</v>
      </c>
      <c r="H79" s="10" t="s">
        <v>36</v>
      </c>
      <c r="K79" s="5" t="str">
        <f>"INSERT INTO m_monster VALUES ("&amp;"'"&amp;B79&amp;"'"&amp;","&amp;"'"&amp;C79&amp;"'"&amp;","&amp;VLOOKUP(D79,コード!$C$48:$I$101,2,FALSE)&amp;","&amp;E79&amp;","&amp;F79&amp;","&amp;G79&amp;","&amp;VLOOKUP(H79,コード!$C$5:$I$11,2,FALSE)&amp;");"</f>
        <v>INSERT INTO m_monster VALUES ('monster074','ゴースト',,160,17,20,);</v>
      </c>
    </row>
    <row r="80" spans="2:11">
      <c r="B80" s="43" t="s">
        <v>495</v>
      </c>
      <c r="C80" s="8" t="s">
        <v>255</v>
      </c>
      <c r="D80" s="8" t="s">
        <v>255</v>
      </c>
      <c r="E80" s="10">
        <v>120</v>
      </c>
      <c r="F80" s="10">
        <v>15</v>
      </c>
      <c r="G80" s="10">
        <v>14</v>
      </c>
      <c r="H80" s="10" t="s">
        <v>37</v>
      </c>
      <c r="K80" s="5" t="str">
        <f>"INSERT INTO m_monster VALUES ("&amp;"'"&amp;B80&amp;"'"&amp;","&amp;"'"&amp;C80&amp;"'"&amp;","&amp;VLOOKUP(D80,コード!$C$48:$I$101,2,FALSE)&amp;","&amp;E80&amp;","&amp;F80&amp;","&amp;G80&amp;","&amp;VLOOKUP(H80,コード!$C$5:$I$11,2,FALSE)&amp;");"</f>
        <v>INSERT INTO m_monster VALUES ('monster075','ユニコーンヘッド',,120,15,14,);</v>
      </c>
    </row>
    <row r="81" spans="2:11">
      <c r="B81" s="43" t="s">
        <v>496</v>
      </c>
      <c r="C81" s="8" t="s">
        <v>292</v>
      </c>
      <c r="D81" s="8" t="s">
        <v>255</v>
      </c>
      <c r="E81" s="10">
        <v>170</v>
      </c>
      <c r="F81" s="10">
        <v>22</v>
      </c>
      <c r="G81" s="10">
        <v>25</v>
      </c>
      <c r="H81" s="10" t="s">
        <v>37</v>
      </c>
      <c r="K81" s="5" t="str">
        <f>"INSERT INTO m_monster VALUES ("&amp;"'"&amp;B81&amp;"'"&amp;","&amp;"'"&amp;C81&amp;"'"&amp;","&amp;VLOOKUP(D81,コード!$C$48:$I$101,2,FALSE)&amp;","&amp;E81&amp;","&amp;F81&amp;","&amp;G81&amp;","&amp;VLOOKUP(H81,コード!$C$5:$I$11,2,FALSE)&amp;");"</f>
        <v>INSERT INTO m_monster VALUES ('monster076','ゴールドユニコ',,170,22,25,);</v>
      </c>
    </row>
    <row r="82" spans="2:11">
      <c r="B82" s="43" t="s">
        <v>497</v>
      </c>
      <c r="C82" s="8" t="s">
        <v>201</v>
      </c>
      <c r="D82" s="8" t="s">
        <v>201</v>
      </c>
      <c r="E82" s="10">
        <v>130</v>
      </c>
      <c r="F82" s="10">
        <v>12</v>
      </c>
      <c r="G82" s="10">
        <v>14</v>
      </c>
      <c r="H82" s="10" t="s">
        <v>36</v>
      </c>
      <c r="K82" s="5" t="str">
        <f>"INSERT INTO m_monster VALUES ("&amp;"'"&amp;B82&amp;"'"&amp;","&amp;"'"&amp;C82&amp;"'"&amp;","&amp;VLOOKUP(D82,コード!$C$48:$I$101,2,FALSE)&amp;","&amp;E82&amp;","&amp;F82&amp;","&amp;G82&amp;","&amp;VLOOKUP(H82,コード!$C$5:$I$11,2,FALSE)&amp;");"</f>
        <v>INSERT INTO m_monster VALUES ('monster077','シェイプシフター',,130,12,14,);</v>
      </c>
    </row>
    <row r="83" spans="2:11">
      <c r="B83" s="43" t="s">
        <v>498</v>
      </c>
      <c r="C83" s="8" t="s">
        <v>293</v>
      </c>
      <c r="D83" s="8" t="s">
        <v>201</v>
      </c>
      <c r="E83" s="10">
        <v>170</v>
      </c>
      <c r="F83" s="10">
        <f>ROUNDDOWN(F82*1.3,0)</f>
        <v>15</v>
      </c>
      <c r="G83" s="10">
        <f>ROUNDDOWN(G82*1.3,0)</f>
        <v>18</v>
      </c>
      <c r="H83" s="10" t="s">
        <v>36</v>
      </c>
      <c r="K83" s="5" t="str">
        <f>"INSERT INTO m_monster VALUES ("&amp;"'"&amp;B83&amp;"'"&amp;","&amp;"'"&amp;C83&amp;"'"&amp;","&amp;VLOOKUP(D83,コード!$C$48:$I$101,2,FALSE)&amp;","&amp;E83&amp;","&amp;F83&amp;","&amp;G83&amp;","&amp;VLOOKUP(H83,コード!$C$5:$I$11,2,FALSE)&amp;");"</f>
        <v>INSERT INTO m_monster VALUES ('monster078','シャドウゼロ',,170,15,18,);</v>
      </c>
    </row>
    <row r="84" spans="2:11">
      <c r="B84" s="43" t="s">
        <v>499</v>
      </c>
      <c r="C84" s="8" t="s">
        <v>294</v>
      </c>
      <c r="D84" s="8" t="s">
        <v>201</v>
      </c>
      <c r="E84" s="10">
        <v>190</v>
      </c>
      <c r="F84" s="10">
        <f>ROUNDDOWN(F83*1.3,0)</f>
        <v>19</v>
      </c>
      <c r="G84" s="10">
        <f>ROUNDDOWN(G83*1.3,0)</f>
        <v>23</v>
      </c>
      <c r="H84" s="10" t="s">
        <v>36</v>
      </c>
      <c r="K84" s="5" t="str">
        <f>"INSERT INTO m_monster VALUES ("&amp;"'"&amp;B84&amp;"'"&amp;","&amp;"'"&amp;C84&amp;"'"&amp;","&amp;VLOOKUP(D84,コード!$C$48:$I$101,2,FALSE)&amp;","&amp;E84&amp;","&amp;F84&amp;","&amp;G84&amp;","&amp;VLOOKUP(H84,コード!$C$5:$I$11,2,FALSE)&amp;");"</f>
        <v>INSERT INTO m_monster VALUES ('monster079','シャドウゼロワン',,190,19,23,);</v>
      </c>
    </row>
    <row r="85" spans="2:11">
      <c r="B85" s="43" t="s">
        <v>500</v>
      </c>
      <c r="C85" s="8" t="s">
        <v>203</v>
      </c>
      <c r="D85" s="8" t="s">
        <v>203</v>
      </c>
      <c r="E85" s="10">
        <v>120</v>
      </c>
      <c r="F85" s="10">
        <v>13</v>
      </c>
      <c r="G85" s="10">
        <v>14</v>
      </c>
      <c r="H85" s="10" t="s">
        <v>36</v>
      </c>
      <c r="K85" s="5" t="str">
        <f>"INSERT INTO m_monster VALUES ("&amp;"'"&amp;B85&amp;"'"&amp;","&amp;"'"&amp;C85&amp;"'"&amp;","&amp;VLOOKUP(D85,コード!$C$48:$I$101,2,FALSE)&amp;","&amp;E85&amp;","&amp;F85&amp;","&amp;G85&amp;","&amp;VLOOKUP(H85,コード!$C$5:$I$11,2,FALSE)&amp;");"</f>
        <v>INSERT INTO m_monster VALUES ('monster080','ボルダー',,120,13,14,);</v>
      </c>
    </row>
    <row r="86" spans="2:11">
      <c r="B86" s="43" t="s">
        <v>501</v>
      </c>
      <c r="C86" s="8" t="s">
        <v>295</v>
      </c>
      <c r="D86" s="8" t="s">
        <v>203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10" t="s">
        <v>36</v>
      </c>
      <c r="K86" s="5" t="str">
        <f>"INSERT INTO m_monster VALUES ("&amp;"'"&amp;B86&amp;"'"&amp;","&amp;"'"&amp;C86&amp;"'"&amp;","&amp;VLOOKUP(D86,コード!$C$48:$I$101,2,FALSE)&amp;","&amp;E86&amp;","&amp;F86&amp;","&amp;G86&amp;","&amp;VLOOKUP(H86,コード!$C$5:$I$11,2,FALSE)&amp;");"</f>
        <v>INSERT INTO m_monster VALUES ('monster081','パワーボルダー',,144,16,18,);</v>
      </c>
    </row>
    <row r="87" spans="2:11">
      <c r="B87" s="43" t="s">
        <v>502</v>
      </c>
      <c r="C87" s="8" t="s">
        <v>296</v>
      </c>
      <c r="D87" s="8" t="s">
        <v>203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10" t="s">
        <v>36</v>
      </c>
      <c r="K87" s="5" t="str">
        <f>"INSERT INTO m_monster VALUES ("&amp;"'"&amp;B87&amp;"'"&amp;","&amp;"'"&amp;C87&amp;"'"&amp;","&amp;VLOOKUP(D87,コード!$C$48:$I$101,2,FALSE)&amp;","&amp;E87&amp;","&amp;F87&amp;","&amp;G87&amp;","&amp;VLOOKUP(H87,コード!$C$5:$I$11,2,FALSE)&amp;");"</f>
        <v>INSERT INTO m_monster VALUES ('monster082','デスボルダー',,172,20,23,);</v>
      </c>
    </row>
    <row r="88" spans="2:11">
      <c r="B88" s="43" t="s">
        <v>503</v>
      </c>
      <c r="C88" s="8" t="s">
        <v>287</v>
      </c>
      <c r="D88" s="8" t="s">
        <v>287</v>
      </c>
      <c r="E88" s="10">
        <v>130</v>
      </c>
      <c r="F88" s="10">
        <v>17</v>
      </c>
      <c r="G88" s="10">
        <v>12</v>
      </c>
      <c r="H88" s="10" t="s">
        <v>151</v>
      </c>
      <c r="K88" s="5" t="str">
        <f>"INSERT INTO m_monster VALUES ("&amp;"'"&amp;B88&amp;"'"&amp;","&amp;"'"&amp;C88&amp;"'"&amp;","&amp;VLOOKUP(D88,コード!$C$48:$I$101,2,FALSE)&amp;","&amp;E88&amp;","&amp;F88&amp;","&amp;G88&amp;","&amp;VLOOKUP(H88,コード!$C$5:$I$11,2,FALSE)&amp;");"</f>
        <v>INSERT INTO m_monster VALUES ('monster083','パンプキンボム',,130,17,12,);</v>
      </c>
    </row>
    <row r="89" spans="2:11">
      <c r="B89" s="43" t="s">
        <v>504</v>
      </c>
      <c r="C89" s="8" t="s">
        <v>297</v>
      </c>
      <c r="D89" s="8" t="s">
        <v>287</v>
      </c>
      <c r="E89" s="10">
        <v>160</v>
      </c>
      <c r="F89" s="10">
        <v>24</v>
      </c>
      <c r="G89" s="10">
        <v>15</v>
      </c>
      <c r="H89" s="10" t="s">
        <v>151</v>
      </c>
      <c r="K89" s="5" t="str">
        <f>"INSERT INTO m_monster VALUES ("&amp;"'"&amp;B89&amp;"'"&amp;","&amp;"'"&amp;C89&amp;"'"&amp;","&amp;VLOOKUP(D89,コード!$C$48:$I$101,2,FALSE)&amp;","&amp;E89&amp;","&amp;F89&amp;","&amp;G89&amp;","&amp;VLOOKUP(H89,コード!$C$5:$I$11,2,FALSE)&amp;");"</f>
        <v>INSERT INTO m_monster VALUES ('monster084','グレネードボム',,160,24,15,);</v>
      </c>
    </row>
    <row r="90" spans="2:11">
      <c r="E90" s="27"/>
      <c r="F90" s="27"/>
      <c r="G90" s="27"/>
      <c r="H90" s="27"/>
    </row>
    <row r="91" spans="2:11">
      <c r="E91" s="27"/>
      <c r="F91" s="27"/>
      <c r="G91" s="27"/>
      <c r="H91" s="27"/>
    </row>
    <row r="92" spans="2:11">
      <c r="E92" s="27"/>
      <c r="F92" s="27"/>
      <c r="G92" s="27"/>
      <c r="H92" s="27"/>
    </row>
    <row r="93" spans="2:11">
      <c r="E93" s="27"/>
      <c r="F93" s="27"/>
      <c r="G93" s="27"/>
      <c r="H93" s="27"/>
    </row>
    <row r="94" spans="2:11">
      <c r="E94" s="27"/>
      <c r="F94" s="27"/>
      <c r="G94" s="27"/>
      <c r="H94" s="27"/>
    </row>
    <row r="95" spans="2:11">
      <c r="E95" s="27"/>
      <c r="F95" s="27"/>
      <c r="G95" s="27"/>
      <c r="H95" s="27"/>
    </row>
    <row r="96" spans="2:11">
      <c r="E96" s="27"/>
      <c r="F96" s="27"/>
      <c r="G96" s="27"/>
      <c r="H96" s="27"/>
    </row>
    <row r="97" spans="5:8">
      <c r="E97" s="27"/>
      <c r="F97" s="27"/>
      <c r="G97" s="27"/>
      <c r="H97" s="27"/>
    </row>
    <row r="98" spans="5:8">
      <c r="E98" s="27"/>
      <c r="F98" s="27"/>
      <c r="G98" s="27"/>
      <c r="H98" s="27"/>
    </row>
    <row r="99" spans="5:8">
      <c r="E99" s="27"/>
      <c r="F99" s="27"/>
      <c r="G99" s="27"/>
      <c r="H99" s="27"/>
    </row>
    <row r="100" spans="5:8">
      <c r="E100" s="27"/>
      <c r="F100" s="27"/>
      <c r="G100" s="27"/>
      <c r="H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43" workbookViewId="0">
      <selection activeCell="K55" sqref="K55"/>
    </sheetView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418</v>
      </c>
      <c r="C4" s="2" t="s">
        <v>155</v>
      </c>
      <c r="D4" s="2" t="s">
        <v>156</v>
      </c>
      <c r="E4" s="2" t="s">
        <v>157</v>
      </c>
      <c r="G4" s="22" t="s">
        <v>154</v>
      </c>
      <c r="H4" s="23" t="s">
        <v>162</v>
      </c>
      <c r="I4" s="22" t="s">
        <v>185</v>
      </c>
      <c r="K4" s="22" t="s">
        <v>231</v>
      </c>
      <c r="L4" s="22" t="s">
        <v>232</v>
      </c>
      <c r="M4" s="22" t="s">
        <v>298</v>
      </c>
    </row>
    <row r="5" spans="2:15">
      <c r="B5" s="44" t="s">
        <v>512</v>
      </c>
      <c r="C5" s="21" t="s">
        <v>419</v>
      </c>
      <c r="D5" s="21" t="s">
        <v>1017</v>
      </c>
      <c r="E5" s="21" t="b">
        <v>0</v>
      </c>
      <c r="G5" s="21" t="str">
        <f>VLOOKUP(C5,モンスター!$B$6:$H$100,2,FALSE)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1041</v>
      </c>
      <c r="L5" s="21" t="str">
        <f>VLOOKUP(K5,スキル!$C$4:$D$99,2,FALSE)</f>
        <v>打撃</v>
      </c>
      <c r="M5" s="21">
        <f>COUNTIF($D$5:$D$1000,K5)</f>
        <v>32</v>
      </c>
      <c r="N5" s="45"/>
      <c r="O5" s="1" t="str">
        <f>"INSERT INTO m_my_skills VALUES ("&amp;"'"&amp;B5&amp;"'"&amp;","&amp;"'"&amp;C5&amp;"'"&amp;","&amp;"'"&amp;D5&amp;"'"&amp;","&amp;E5&amp;");"</f>
        <v>INSERT INTO m_my_skills VALUES ('myskill0001','monster001','skill009',FALSE);</v>
      </c>
    </row>
    <row r="6" spans="2:15">
      <c r="B6" s="44" t="s">
        <v>513</v>
      </c>
      <c r="C6" s="21" t="s">
        <v>419</v>
      </c>
      <c r="D6" s="21" t="s">
        <v>1017</v>
      </c>
      <c r="E6" s="21" t="b">
        <v>0</v>
      </c>
      <c r="G6" s="21" t="str">
        <f>VLOOKUP(C6,モンスター!$B$6:$H$100,2,FALSE)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1042</v>
      </c>
      <c r="L6" s="21" t="str">
        <f>VLOOKUP(K6,スキル!$C$4:$D$99,2,FALSE)</f>
        <v>正拳突き</v>
      </c>
      <c r="M6" s="21">
        <f t="shared" ref="M6:M69" si="0">COUNTIF($D$5:$D$1000,K6)</f>
        <v>24</v>
      </c>
      <c r="N6" s="45"/>
      <c r="O6" s="1" t="str">
        <f t="shared" ref="O6:O69" si="1">"INSERT INTO m_my_skills VALUES ("&amp;"'"&amp;B6&amp;"'"&amp;","&amp;"'"&amp;C6&amp;"'"&amp;","&amp;"'"&amp;D6&amp;"'"&amp;","&amp;E6&amp;");"</f>
        <v>INSERT INTO m_my_skills VALUES ('myskill0002','monster001','skill009',FALSE);</v>
      </c>
    </row>
    <row r="7" spans="2:15">
      <c r="B7" s="44" t="s">
        <v>514</v>
      </c>
      <c r="C7" s="21" t="s">
        <v>419</v>
      </c>
      <c r="D7" s="21" t="s">
        <v>1017</v>
      </c>
      <c r="E7" s="21" t="b">
        <v>0</v>
      </c>
      <c r="G7" s="21" t="str">
        <f>VLOOKUP(C7,モンスター!$B$6:$H$100,2,FALSE)</f>
        <v>キラービー</v>
      </c>
      <c r="H7" s="24">
        <f>VLOOKUP(D7,スキル!$C$4:$O$96,8,FALSE)</f>
        <v>10</v>
      </c>
      <c r="I7" s="25" t="str">
        <f>VLOOKUP(D7,スキル!$C$4:$O$96,2,FALSE)</f>
        <v>斬撃</v>
      </c>
      <c r="K7" s="43" t="s">
        <v>1065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m_my_skills VALUES ('myskill0003','monster001','skill009',FALSE);</v>
      </c>
    </row>
    <row r="8" spans="2:15">
      <c r="B8" s="44" t="s">
        <v>515</v>
      </c>
      <c r="C8" s="21" t="s">
        <v>419</v>
      </c>
      <c r="D8" s="21" t="s">
        <v>1018</v>
      </c>
      <c r="E8" s="21" t="b">
        <v>0</v>
      </c>
      <c r="G8" s="21" t="str">
        <f>VLOOKUP(C8,モンスター!$B$6:$H$100,2,FALSE)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1038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m_my_skills VALUES ('myskill0004','monster001','skill055',FALSE);</v>
      </c>
    </row>
    <row r="9" spans="2:15">
      <c r="B9" s="44" t="s">
        <v>516</v>
      </c>
      <c r="C9" s="21" t="s">
        <v>419</v>
      </c>
      <c r="D9" s="21" t="s">
        <v>1019</v>
      </c>
      <c r="E9" s="21" t="b">
        <v>0</v>
      </c>
      <c r="G9" s="21" t="str">
        <f>VLOOKUP(C9,モンスター!$B$6:$H$100,2,FALSE)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1021</v>
      </c>
      <c r="L9" s="21" t="str">
        <f>VLOOKUP(K9,スキル!$C$4:$D$99,2,FALSE)</f>
        <v>回し蹴り</v>
      </c>
      <c r="M9" s="21">
        <f t="shared" si="0"/>
        <v>4</v>
      </c>
      <c r="N9" s="45"/>
      <c r="O9" s="1" t="str">
        <f t="shared" si="1"/>
        <v>INSERT INTO m_my_skills VALUES ('myskill0005','monster001','skill026',FALSE);</v>
      </c>
    </row>
    <row r="10" spans="2:15">
      <c r="B10" s="44" t="s">
        <v>517</v>
      </c>
      <c r="C10" s="21" t="s">
        <v>419</v>
      </c>
      <c r="D10" s="21" t="s">
        <v>1019</v>
      </c>
      <c r="E10" s="21" t="b">
        <v>0</v>
      </c>
      <c r="G10" s="21" t="str">
        <f>VLOOKUP(C10,モンスター!$B$6:$H$100,2,FALSE)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1020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m_my_skills VALUES ('myskill0006','monster001','skill026',FALSE);</v>
      </c>
    </row>
    <row r="11" spans="2:15">
      <c r="B11" s="44" t="s">
        <v>518</v>
      </c>
      <c r="C11" s="21" t="s">
        <v>421</v>
      </c>
      <c r="D11" s="21" t="s">
        <v>1017</v>
      </c>
      <c r="E11" s="21" t="b">
        <v>0</v>
      </c>
      <c r="G11" s="21" t="str">
        <f>VLOOKUP(C11,モンスター!$B$6:$H$100,2,FALSE)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1030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m_my_skills VALUES ('myskill0007','monster002','skill009',FALSE);</v>
      </c>
    </row>
    <row r="12" spans="2:15">
      <c r="B12" s="44" t="s">
        <v>519</v>
      </c>
      <c r="C12" s="21" t="s">
        <v>421</v>
      </c>
      <c r="D12" s="21" t="s">
        <v>1020</v>
      </c>
      <c r="E12" s="21" t="b">
        <v>0</v>
      </c>
      <c r="G12" s="21" t="str">
        <f>VLOOKUP(C12,モンスター!$B$6:$H$100,2,FALSE)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1060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m_my_skills VALUES ('myskill0008','monster002','skill006',FALSE);</v>
      </c>
    </row>
    <row r="13" spans="2:15">
      <c r="B13" s="44" t="s">
        <v>520</v>
      </c>
      <c r="C13" s="21" t="s">
        <v>421</v>
      </c>
      <c r="D13" s="21" t="s">
        <v>1018</v>
      </c>
      <c r="E13" s="21" t="b">
        <v>0</v>
      </c>
      <c r="G13" s="21" t="str">
        <f>VLOOKUP(C13,モンスター!$B$6:$H$100,2,FALSE)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1017</v>
      </c>
      <c r="L13" s="21" t="str">
        <f>VLOOKUP(K13,スキル!$C$4:$D$99,2,FALSE)</f>
        <v>斬撃</v>
      </c>
      <c r="M13" s="21">
        <f t="shared" si="0"/>
        <v>43</v>
      </c>
      <c r="N13" s="45"/>
      <c r="O13" s="1" t="str">
        <f t="shared" si="1"/>
        <v>INSERT INTO m_my_skills VALUES ('myskill0009','monster002','skill055',FALSE);</v>
      </c>
    </row>
    <row r="14" spans="2:15">
      <c r="B14" s="44" t="s">
        <v>521</v>
      </c>
      <c r="C14" s="21" t="s">
        <v>421</v>
      </c>
      <c r="D14" s="21" t="s">
        <v>1021</v>
      </c>
      <c r="E14" s="21" t="b">
        <v>0</v>
      </c>
      <c r="G14" s="21" t="str">
        <f>VLOOKUP(C14,モンスター!$B$6:$H$100,2,FALSE)</f>
        <v>アサシンバグ</v>
      </c>
      <c r="H14" s="24" t="str">
        <f>VLOOKUP(D14,スキル!$C$4:$O$96,8,FALSE)</f>
        <v>15</v>
      </c>
      <c r="I14" s="25" t="str">
        <f>VLOOKUP(D14,スキル!$C$4:$O$96,2,FALSE)</f>
        <v>回し蹴り</v>
      </c>
      <c r="K14" s="43" t="s">
        <v>1025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m_my_skills VALUES ('myskill0010','monster002','skill005',FALSE);</v>
      </c>
    </row>
    <row r="15" spans="2:15">
      <c r="B15" s="44" t="s">
        <v>522</v>
      </c>
      <c r="C15" s="21" t="s">
        <v>421</v>
      </c>
      <c r="D15" s="21" t="s">
        <v>1019</v>
      </c>
      <c r="E15" s="21" t="b">
        <v>0</v>
      </c>
      <c r="G15" s="21" t="str">
        <f>VLOOKUP(C15,モンスター!$B$6:$H$100,2,FALSE)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1032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m_my_skills VALUES ('myskill0011','monster002','skill026',FALSE);</v>
      </c>
    </row>
    <row r="16" spans="2:15">
      <c r="B16" s="44" t="s">
        <v>523</v>
      </c>
      <c r="C16" s="21" t="s">
        <v>421</v>
      </c>
      <c r="D16" s="21" t="s">
        <v>1022</v>
      </c>
      <c r="E16" s="21" t="b">
        <v>0</v>
      </c>
      <c r="G16" s="21" t="str">
        <f>VLOOKUP(C16,モンスター!$B$6:$H$100,2,FALSE)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1049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m_my_skills VALUES ('myskill0012','monster002','skill027',FALSE);</v>
      </c>
    </row>
    <row r="17" spans="2:15">
      <c r="B17" s="44" t="s">
        <v>524</v>
      </c>
      <c r="C17" s="21" t="s">
        <v>423</v>
      </c>
      <c r="D17" s="21" t="s">
        <v>1017</v>
      </c>
      <c r="E17" s="21" t="b">
        <v>0</v>
      </c>
      <c r="G17" s="21" t="str">
        <f>VLOOKUP(C17,モンスター!$B$6:$H$100,2,FALSE)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1026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m_my_skills VALUES ('myskill0013','monster003','skill009',FALSE);</v>
      </c>
    </row>
    <row r="18" spans="2:15">
      <c r="B18" s="44" t="s">
        <v>525</v>
      </c>
      <c r="C18" s="21" t="s">
        <v>423</v>
      </c>
      <c r="D18" s="21" t="s">
        <v>1017</v>
      </c>
      <c r="E18" s="21" t="b">
        <v>0</v>
      </c>
      <c r="G18" s="21" t="str">
        <f>VLOOKUP(C18,モンスター!$B$6:$H$100,2,FALSE)</f>
        <v>ラスターバグ</v>
      </c>
      <c r="H18" s="24">
        <f>VLOOKUP(D18,スキル!$C$4:$O$96,8,FALSE)</f>
        <v>10</v>
      </c>
      <c r="I18" s="25" t="str">
        <f>VLOOKUP(D18,スキル!$C$4:$O$96,2,FALSE)</f>
        <v>斬撃</v>
      </c>
      <c r="K18" s="43" t="s">
        <v>1048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m_my_skills VALUES ('myskill0014','monster003','skill009',FALSE);</v>
      </c>
    </row>
    <row r="19" spans="2:15">
      <c r="B19" s="44" t="s">
        <v>526</v>
      </c>
      <c r="C19" s="21" t="s">
        <v>423</v>
      </c>
      <c r="D19" s="21" t="s">
        <v>1023</v>
      </c>
      <c r="E19" s="21" t="b">
        <v>0</v>
      </c>
      <c r="G19" s="21" t="str">
        <f>VLOOKUP(C19,モンスター!$B$6:$H$100,2,FALSE)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1050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m_my_skills VALUES ('myskill0015','monster003','skill056',FALSE);</v>
      </c>
    </row>
    <row r="20" spans="2:15">
      <c r="B20" s="44" t="s">
        <v>527</v>
      </c>
      <c r="C20" s="21" t="s">
        <v>423</v>
      </c>
      <c r="D20" s="21" t="s">
        <v>1020</v>
      </c>
      <c r="E20" s="21" t="b">
        <v>0</v>
      </c>
      <c r="G20" s="21" t="str">
        <f>VLOOKUP(C20,モンスター!$B$6:$H$100,2,FALSE)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1052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m_my_skills VALUES ('myskill0016','monster003','skill006',FALSE);</v>
      </c>
    </row>
    <row r="21" spans="2:15">
      <c r="B21" s="44" t="s">
        <v>528</v>
      </c>
      <c r="C21" s="21" t="s">
        <v>423</v>
      </c>
      <c r="D21" s="21" t="s">
        <v>1019</v>
      </c>
      <c r="E21" s="21" t="b">
        <v>0</v>
      </c>
      <c r="G21" s="21" t="str">
        <f>VLOOKUP(C21,モンスター!$B$6:$H$100,2,FALSE)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1043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m_my_skills VALUES ('myskill0017','monster003','skill026',FALSE);</v>
      </c>
    </row>
    <row r="22" spans="2:15">
      <c r="B22" s="44" t="s">
        <v>529</v>
      </c>
      <c r="C22" s="21" t="s">
        <v>423</v>
      </c>
      <c r="D22" s="21" t="s">
        <v>1024</v>
      </c>
      <c r="E22" s="21" t="b">
        <v>0</v>
      </c>
      <c r="G22" s="21" t="str">
        <f>VLOOKUP(C22,モンスター!$B$6:$H$100,2,FALSE)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1045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m_my_skills VALUES ('myskill0018','monster003','skill028',FALSE);</v>
      </c>
    </row>
    <row r="23" spans="2:15">
      <c r="B23" s="44" t="s">
        <v>530</v>
      </c>
      <c r="C23" s="21" t="s">
        <v>424</v>
      </c>
      <c r="D23" s="21" t="s">
        <v>1017</v>
      </c>
      <c r="E23" s="21" t="b">
        <v>0</v>
      </c>
      <c r="G23" s="21" t="str">
        <f>VLOOKUP(C23,モンスター!$B$6:$H$100,2,FALSE)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1055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m_my_skills VALUES ('myskill0019','monster004','skill009',FALSE);</v>
      </c>
    </row>
    <row r="24" spans="2:15">
      <c r="B24" s="44" t="s">
        <v>531</v>
      </c>
      <c r="C24" s="21" t="s">
        <v>424</v>
      </c>
      <c r="D24" s="21" t="s">
        <v>1018</v>
      </c>
      <c r="E24" s="21" t="b">
        <v>0</v>
      </c>
      <c r="G24" s="21" t="str">
        <f>VLOOKUP(C24,モンスター!$B$6:$H$100,2,FALSE)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1028</v>
      </c>
      <c r="L24" s="21" t="str">
        <f>VLOOKUP(K24,スキル!$C$4:$D$99,2,FALSE)</f>
        <v>アイススマッシュ</v>
      </c>
      <c r="M24" s="21">
        <f t="shared" si="0"/>
        <v>10</v>
      </c>
      <c r="N24" s="45"/>
      <c r="O24" s="1" t="str">
        <f t="shared" si="1"/>
        <v>INSERT INTO m_my_skills VALUES ('myskill0020','monster004','skill055',FALSE);</v>
      </c>
    </row>
    <row r="25" spans="2:15">
      <c r="B25" s="44" t="s">
        <v>532</v>
      </c>
      <c r="C25" s="21" t="s">
        <v>424</v>
      </c>
      <c r="D25" s="21" t="s">
        <v>1025</v>
      </c>
      <c r="E25" s="21" t="b">
        <v>0</v>
      </c>
      <c r="G25" s="21" t="str">
        <f>VLOOKUP(C25,モンスター!$B$6:$H$100,2,FALSE)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1031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m_my_skills VALUES ('myskill0021','monster004','skill010',FALSE);</v>
      </c>
    </row>
    <row r="26" spans="2:15">
      <c r="B26" s="44" t="s">
        <v>533</v>
      </c>
      <c r="C26" s="21" t="s">
        <v>424</v>
      </c>
      <c r="D26" s="21" t="s">
        <v>1026</v>
      </c>
      <c r="E26" s="21" t="b">
        <v>0</v>
      </c>
      <c r="G26" s="21" t="str">
        <f>VLOOKUP(C26,モンスター!$B$6:$H$100,2,FALSE)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1056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m_my_skills VALUES ('myskill0022','monster004','skill013',FALSE);</v>
      </c>
    </row>
    <row r="27" spans="2:15">
      <c r="B27" s="44" t="s">
        <v>534</v>
      </c>
      <c r="C27" s="21" t="s">
        <v>424</v>
      </c>
      <c r="D27" s="21" t="s">
        <v>1027</v>
      </c>
      <c r="E27" s="21" t="b">
        <v>0</v>
      </c>
      <c r="G27" s="21" t="str">
        <f>VLOOKUP(C27,モンスター!$B$6:$H$100,2,FALSE)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1044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m_my_skills VALUES ('myskill0023','monster004','skill049',FALSE);</v>
      </c>
    </row>
    <row r="28" spans="2:15">
      <c r="B28" s="44" t="s">
        <v>535</v>
      </c>
      <c r="C28" s="21" t="s">
        <v>424</v>
      </c>
      <c r="D28" s="21" t="s">
        <v>1028</v>
      </c>
      <c r="E28" s="21" t="b">
        <v>0</v>
      </c>
      <c r="G28" s="21" t="str">
        <f>VLOOKUP(C28,モンスター!$B$6:$H$100,2,FALSE)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1046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m_my_skills VALUES ('myskill0024','monster004','skill020',FALSE);</v>
      </c>
    </row>
    <row r="29" spans="2:15">
      <c r="B29" s="44" t="s">
        <v>536</v>
      </c>
      <c r="C29" s="21" t="s">
        <v>425</v>
      </c>
      <c r="D29" s="21" t="s">
        <v>1027</v>
      </c>
      <c r="E29" s="21" t="b">
        <v>0</v>
      </c>
      <c r="G29" s="21" t="str">
        <f>VLOOKUP(C29,モンスター!$B$6:$H$100,2,FALSE)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1047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m_my_skills VALUES ('myskill0025','monster005','skill049',FALSE);</v>
      </c>
    </row>
    <row r="30" spans="2:15">
      <c r="B30" s="44" t="s">
        <v>537</v>
      </c>
      <c r="C30" s="21" t="s">
        <v>425</v>
      </c>
      <c r="D30" s="21" t="s">
        <v>1029</v>
      </c>
      <c r="E30" s="21" t="b">
        <v>0</v>
      </c>
      <c r="G30" s="21" t="str">
        <f>VLOOKUP(C30,モンスター!$B$6:$H$100,2,FALSE)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1019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m_my_skills VALUES ('myskill0026','monster005','skill043',FALSE);</v>
      </c>
    </row>
    <row r="31" spans="2:15">
      <c r="B31" s="44" t="s">
        <v>538</v>
      </c>
      <c r="C31" s="21" t="s">
        <v>425</v>
      </c>
      <c r="D31" s="21" t="s">
        <v>1025</v>
      </c>
      <c r="E31" s="21" t="b">
        <v>0</v>
      </c>
      <c r="G31" s="21" t="str">
        <f>VLOOKUP(C31,モンスター!$B$6:$H$100,2,FALSE)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1022</v>
      </c>
      <c r="L31" s="21" t="str">
        <f>VLOOKUP(K31,スキル!$C$4:$D$99,2,FALSE)</f>
        <v>アースクエイク</v>
      </c>
      <c r="M31" s="21">
        <f t="shared" si="0"/>
        <v>8</v>
      </c>
      <c r="N31" s="45"/>
      <c r="O31" s="1" t="str">
        <f t="shared" si="1"/>
        <v>INSERT INTO m_my_skills VALUES ('myskill0027','monster005','skill010',FALSE);</v>
      </c>
    </row>
    <row r="32" spans="2:15">
      <c r="B32" s="44" t="s">
        <v>539</v>
      </c>
      <c r="C32" s="21" t="s">
        <v>425</v>
      </c>
      <c r="D32" s="21" t="s">
        <v>1030</v>
      </c>
      <c r="E32" s="21" t="b">
        <v>0</v>
      </c>
      <c r="G32" s="21" t="str">
        <f>VLOOKUP(C32,モンスター!$B$6:$H$100,2,FALSE)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1024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m_my_skills VALUES ('myskill0028','monster005','skill007',FALSE);</v>
      </c>
    </row>
    <row r="33" spans="2:15">
      <c r="B33" s="44" t="s">
        <v>540</v>
      </c>
      <c r="C33" s="21" t="s">
        <v>425</v>
      </c>
      <c r="D33" s="21" t="s">
        <v>1022</v>
      </c>
      <c r="E33" s="21" t="b">
        <v>0</v>
      </c>
      <c r="G33" s="21" t="str">
        <f>VLOOKUP(C33,モンスター!$B$6:$H$100,2,FALSE)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1063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m_my_skills VALUES ('myskill0029','monster005','skill027',FALSE);</v>
      </c>
    </row>
    <row r="34" spans="2:15">
      <c r="B34" s="44" t="s">
        <v>541</v>
      </c>
      <c r="C34" s="21" t="s">
        <v>425</v>
      </c>
      <c r="D34" s="21" t="s">
        <v>1031</v>
      </c>
      <c r="E34" s="21" t="b">
        <v>0</v>
      </c>
      <c r="G34" s="21" t="str">
        <f>VLOOKUP(C34,モンスター!$B$6:$H$100,2,FALSE)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1064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m_my_skills VALUES ('myskill0030','monster005','skill021',FALSE);</v>
      </c>
    </row>
    <row r="35" spans="2:15">
      <c r="B35" s="44" t="s">
        <v>542</v>
      </c>
      <c r="C35" s="21" t="s">
        <v>426</v>
      </c>
      <c r="D35" s="21" t="s">
        <v>1032</v>
      </c>
      <c r="E35" s="21" t="b">
        <v>0</v>
      </c>
      <c r="G35" s="21" t="str">
        <f>VLOOKUP(C35,モンスター!$B$6:$H$100,2,FALSE)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1067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m_my_skills VALUES ('myskill0031','monster006','skill011',FALSE);</v>
      </c>
    </row>
    <row r="36" spans="2:15">
      <c r="B36" s="44" t="s">
        <v>543</v>
      </c>
      <c r="C36" s="21" t="s">
        <v>426</v>
      </c>
      <c r="D36" s="21" t="s">
        <v>1033</v>
      </c>
      <c r="E36" s="21" t="b">
        <v>0</v>
      </c>
      <c r="G36" s="21" t="str">
        <f>VLOOKUP(C36,モンスター!$B$6:$H$100,2,FALSE)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1033</v>
      </c>
      <c r="L36" s="21" t="str">
        <f>VLOOKUP(K36,スキル!$C$4:$D$99,2,FALSE)</f>
        <v>イビルゲート</v>
      </c>
      <c r="M36" s="21">
        <f t="shared" si="0"/>
        <v>13</v>
      </c>
      <c r="N36" s="45"/>
      <c r="O36" s="1" t="str">
        <f t="shared" si="1"/>
        <v>INSERT INTO m_my_skills VALUES ('myskill0032','monster006','skill032',FALSE);</v>
      </c>
    </row>
    <row r="37" spans="2:15">
      <c r="B37" s="44" t="s">
        <v>544</v>
      </c>
      <c r="C37" s="21" t="s">
        <v>426</v>
      </c>
      <c r="D37" s="21" t="s">
        <v>1034</v>
      </c>
      <c r="E37" s="21" t="b">
        <v>0</v>
      </c>
      <c r="G37" s="21" t="str">
        <f>VLOOKUP(C37,モンスター!$B$6:$H$100,2,FALSE)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1034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m_my_skills VALUES ('myskill0033','monster006','skill033',FALSE);</v>
      </c>
    </row>
    <row r="38" spans="2:15">
      <c r="B38" s="44" t="s">
        <v>545</v>
      </c>
      <c r="C38" s="21" t="s">
        <v>426</v>
      </c>
      <c r="D38" s="21" t="s">
        <v>1017</v>
      </c>
      <c r="E38" s="21" t="b">
        <v>0</v>
      </c>
      <c r="G38" s="21" t="str">
        <f>VLOOKUP(C38,モンスター!$B$6:$H$100,2,FALSE)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1036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m_my_skills VALUES ('myskill0034','monster006','skill009',FALSE);</v>
      </c>
    </row>
    <row r="39" spans="2:15">
      <c r="B39" s="44" t="s">
        <v>546</v>
      </c>
      <c r="C39" s="21" t="s">
        <v>426</v>
      </c>
      <c r="D39" s="21" t="s">
        <v>1017</v>
      </c>
      <c r="E39" s="21" t="b">
        <v>0</v>
      </c>
      <c r="G39" s="21" t="str">
        <f>VLOOKUP(C39,モンスター!$B$6:$H$100,2,FALSE)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1053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m_my_skills VALUES ('myskill0035','monster006','skill009',FALSE);</v>
      </c>
    </row>
    <row r="40" spans="2:15">
      <c r="B40" s="44" t="s">
        <v>547</v>
      </c>
      <c r="C40" s="21" t="s">
        <v>426</v>
      </c>
      <c r="D40" s="21" t="s">
        <v>1035</v>
      </c>
      <c r="E40" s="21" t="b">
        <v>0</v>
      </c>
      <c r="G40" s="21" t="str">
        <f>VLOOKUP(C40,モンスター!$B$6:$H$100,2,FALSE)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1037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m_my_skills VALUES ('myskill0036','monster006','skill057',FALSE);</v>
      </c>
    </row>
    <row r="41" spans="2:15">
      <c r="B41" s="44" t="s">
        <v>548</v>
      </c>
      <c r="C41" s="21" t="s">
        <v>427</v>
      </c>
      <c r="D41" s="21" t="s">
        <v>1034</v>
      </c>
      <c r="E41" s="21" t="b">
        <v>0</v>
      </c>
      <c r="G41" s="21" t="str">
        <f>VLOOKUP(C41,モンスター!$B$6:$H$100,2,FALSE)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1068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m_my_skills VALUES ('myskill0037','monster007','skill033',FALSE);</v>
      </c>
    </row>
    <row r="42" spans="2:15">
      <c r="B42" s="44" t="s">
        <v>549</v>
      </c>
      <c r="C42" s="21" t="s">
        <v>427</v>
      </c>
      <c r="D42" s="21" t="s">
        <v>1036</v>
      </c>
      <c r="E42" s="21" t="b">
        <v>0</v>
      </c>
      <c r="G42" s="21" t="str">
        <f>VLOOKUP(C42,モンスター!$B$6:$H$100,2,FALSE)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1057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m_my_skills VALUES ('myskill0038','monster007','skill034',FALSE);</v>
      </c>
    </row>
    <row r="43" spans="2:15">
      <c r="B43" s="44" t="s">
        <v>550</v>
      </c>
      <c r="C43" s="21" t="s">
        <v>427</v>
      </c>
      <c r="D43" s="21" t="s">
        <v>1037</v>
      </c>
      <c r="E43" s="21" t="b">
        <v>0</v>
      </c>
      <c r="G43" s="21" t="str">
        <f>VLOOKUP(C43,モンスター!$B$6:$H$100,2,FALSE)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1062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m_my_skills VALUES ('myskill0039','monster007','skill036',FALSE);</v>
      </c>
    </row>
    <row r="44" spans="2:15">
      <c r="B44" s="44" t="s">
        <v>551</v>
      </c>
      <c r="C44" s="21" t="s">
        <v>427</v>
      </c>
      <c r="D44" s="21" t="s">
        <v>1038</v>
      </c>
      <c r="E44" s="21" t="b">
        <v>0</v>
      </c>
      <c r="G44" s="21" t="str">
        <f>VLOOKUP(C44,モンスター!$B$6:$H$100,2,FALSE)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1051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m_my_skills VALUES ('myskill0040','monster007','skill004',FALSE);</v>
      </c>
    </row>
    <row r="45" spans="2:15">
      <c r="B45" s="44" t="s">
        <v>552</v>
      </c>
      <c r="C45" s="21" t="s">
        <v>427</v>
      </c>
      <c r="D45" s="21" t="s">
        <v>1032</v>
      </c>
      <c r="E45" s="21" t="b">
        <v>0</v>
      </c>
      <c r="G45" s="21" t="str">
        <f>VLOOKUP(C45,モンスター!$B$6:$H$100,2,FALSE)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1061</v>
      </c>
      <c r="L45" s="21" t="str">
        <f>VLOOKUP(K45,スキル!$C$4:$D$99,2,FALSE)</f>
        <v>ケアルガ</v>
      </c>
      <c r="M45" s="21">
        <f t="shared" si="0"/>
        <v>4</v>
      </c>
      <c r="N45" s="45"/>
      <c r="O45" s="1" t="str">
        <f t="shared" si="1"/>
        <v>INSERT INTO m_my_skills VALUES ('myskill0041','monster007','skill011',FALSE);</v>
      </c>
    </row>
    <row r="46" spans="2:15">
      <c r="B46" s="44" t="s">
        <v>553</v>
      </c>
      <c r="C46" s="21" t="s">
        <v>427</v>
      </c>
      <c r="D46" s="21" t="s">
        <v>1035</v>
      </c>
      <c r="E46" s="21" t="b">
        <v>0</v>
      </c>
      <c r="G46" s="21" t="str">
        <f>VLOOKUP(C46,モンスター!$B$6:$H$100,2,FALSE)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1066</v>
      </c>
      <c r="L46" s="21" t="str">
        <f>VLOOKUP(K46,スキル!$C$4:$D$99,2,FALSE)</f>
        <v>ケアルジャ</v>
      </c>
      <c r="M46" s="21">
        <f t="shared" si="0"/>
        <v>1</v>
      </c>
      <c r="N46" s="45"/>
      <c r="O46" s="1" t="str">
        <f t="shared" si="1"/>
        <v>INSERT INTO m_my_skills VALUES ('myskill0042','monster007','skill057',FALSE);</v>
      </c>
    </row>
    <row r="47" spans="2:15">
      <c r="B47" s="44" t="s">
        <v>554</v>
      </c>
      <c r="C47" s="21" t="s">
        <v>428</v>
      </c>
      <c r="D47" s="21" t="s">
        <v>1170</v>
      </c>
      <c r="E47" s="21" t="b">
        <v>0</v>
      </c>
      <c r="G47" s="21" t="str">
        <f>VLOOKUP(C47,モンスター!$B$6:$H$100,2,FALSE)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1029</v>
      </c>
      <c r="L47" s="21" t="str">
        <f>VLOOKUP(K47,スキル!$C$4:$D$99,2,FALSE)</f>
        <v>リジェネ</v>
      </c>
      <c r="M47" s="21">
        <f t="shared" si="0"/>
        <v>2</v>
      </c>
      <c r="N47" s="45"/>
      <c r="O47" s="1" t="str">
        <f t="shared" si="1"/>
        <v>INSERT INTO m_my_skills VALUES ('myskill0043','monster008','skill052',FALSE);</v>
      </c>
    </row>
    <row r="48" spans="2:15">
      <c r="B48" s="44" t="s">
        <v>555</v>
      </c>
      <c r="C48" s="21" t="s">
        <v>428</v>
      </c>
      <c r="D48" s="21" t="s">
        <v>1017</v>
      </c>
      <c r="E48" s="21" t="b">
        <v>0</v>
      </c>
      <c r="G48" s="21" t="str">
        <f>VLOOKUP(C48,モンスター!$B$6:$H$100,2,FALSE)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1054</v>
      </c>
      <c r="L48" s="21" t="str">
        <f>VLOOKUP(K48,スキル!$C$4:$D$99,2,FALSE)</f>
        <v>ポイズン</v>
      </c>
      <c r="M48" s="21">
        <f t="shared" si="0"/>
        <v>7</v>
      </c>
      <c r="N48" s="45"/>
      <c r="O48" s="1" t="str">
        <f t="shared" si="1"/>
        <v>INSERT INTO m_my_skills VALUES ('myskill0044','monster008','skill009',FALSE);</v>
      </c>
    </row>
    <row r="49" spans="2:15">
      <c r="B49" s="44" t="s">
        <v>556</v>
      </c>
      <c r="C49" s="21" t="s">
        <v>428</v>
      </c>
      <c r="D49" s="21" t="s">
        <v>1017</v>
      </c>
      <c r="E49" s="21" t="b">
        <v>0</v>
      </c>
      <c r="G49" s="21" t="str">
        <f>VLOOKUP(C49,モンスター!$B$6:$H$100,2,FALSE)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1058</v>
      </c>
      <c r="L49" s="21" t="str">
        <f>VLOOKUP(K49,スキル!$C$4:$D$99,2,FALSE)</f>
        <v>ポイズンフラワー</v>
      </c>
      <c r="M49" s="21">
        <f t="shared" si="0"/>
        <v>3</v>
      </c>
      <c r="N49" s="45"/>
      <c r="O49" s="1" t="str">
        <f t="shared" si="1"/>
        <v>INSERT INTO m_my_skills VALUES ('myskill0045','monster008','skill009',FALSE);</v>
      </c>
    </row>
    <row r="50" spans="2:15">
      <c r="B50" s="44" t="s">
        <v>557</v>
      </c>
      <c r="C50" s="21" t="s">
        <v>428</v>
      </c>
      <c r="D50" s="21" t="s">
        <v>1018</v>
      </c>
      <c r="E50" s="21" t="b">
        <v>0</v>
      </c>
      <c r="G50" s="21" t="str">
        <f>VLOOKUP(C50,モンスター!$B$6:$H$100,2,FALSE)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1059</v>
      </c>
      <c r="L50" s="21" t="str">
        <f>VLOOKUP(K50,スキル!$C$4:$D$99,2,FALSE)</f>
        <v>デッドリーポイズン</v>
      </c>
      <c r="M50" s="21">
        <f t="shared" si="0"/>
        <v>2</v>
      </c>
      <c r="N50" s="45"/>
      <c r="O50" s="1" t="str">
        <f t="shared" si="1"/>
        <v>INSERT INTO m_my_skills VALUES ('myskill0046','monster008','skill055',FALSE);</v>
      </c>
    </row>
    <row r="51" spans="2:15">
      <c r="B51" s="44" t="s">
        <v>558</v>
      </c>
      <c r="C51" s="21" t="s">
        <v>428</v>
      </c>
      <c r="D51" s="21" t="s">
        <v>1032</v>
      </c>
      <c r="E51" s="21" t="b">
        <v>0</v>
      </c>
      <c r="G51" s="21" t="str">
        <f>VLOOKUP(C51,モンスター!$B$6:$H$100,2,FALSE)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1039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m_my_skills VALUES ('myskill0047','monster008','skill011',FALSE);</v>
      </c>
    </row>
    <row r="52" spans="2:15">
      <c r="B52" s="44" t="s">
        <v>559</v>
      </c>
      <c r="C52" s="21" t="s">
        <v>428</v>
      </c>
      <c r="D52" s="21" t="s">
        <v>1032</v>
      </c>
      <c r="E52" s="21" t="b">
        <v>0</v>
      </c>
      <c r="G52" s="21" t="str">
        <f>VLOOKUP(C52,モンスター!$B$6:$H$100,2,FALSE)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1040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m_my_skills VALUES ('myskill0048','monster008','skill011',FALSE);</v>
      </c>
    </row>
    <row r="53" spans="2:15">
      <c r="B53" s="44" t="s">
        <v>560</v>
      </c>
      <c r="C53" s="21" t="s">
        <v>429</v>
      </c>
      <c r="D53" s="21" t="s">
        <v>1017</v>
      </c>
      <c r="E53" s="21" t="b">
        <v>0</v>
      </c>
      <c r="G53" s="21" t="str">
        <f>VLOOKUP(C53,モンスター!$B$6:$H$100,2,FALSE)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1027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m_my_skills VALUES ('myskill0049','monster009','skill009',FALSE);</v>
      </c>
    </row>
    <row r="54" spans="2:15">
      <c r="B54" s="44" t="s">
        <v>561</v>
      </c>
      <c r="C54" s="21" t="s">
        <v>429</v>
      </c>
      <c r="D54" s="21" t="s">
        <v>1018</v>
      </c>
      <c r="E54" s="21" t="b">
        <v>0</v>
      </c>
      <c r="G54" s="21" t="str">
        <f>VLOOKUP(C54,モンスター!$B$6:$H$100,2,FALSE)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1081</v>
      </c>
      <c r="L54" s="21" t="str">
        <f>VLOOKUP(K54,スキル!$C$4:$D$99,2,FALSE)</f>
        <v>スロウ</v>
      </c>
      <c r="M54" s="21">
        <f t="shared" si="0"/>
        <v>0</v>
      </c>
      <c r="N54" s="45"/>
      <c r="O54" s="1" t="str">
        <f t="shared" si="1"/>
        <v>INSERT INTO m_my_skills VALUES ('myskill0050','monster009','skill055',FALSE);</v>
      </c>
    </row>
    <row r="55" spans="2:15">
      <c r="B55" s="44" t="s">
        <v>562</v>
      </c>
      <c r="C55" s="21" t="s">
        <v>429</v>
      </c>
      <c r="D55" s="21" t="s">
        <v>1025</v>
      </c>
      <c r="E55" s="21" t="b">
        <v>0</v>
      </c>
      <c r="G55" s="21" t="str">
        <f>VLOOKUP(C55,モンスター!$B$6:$H$100,2,FALSE)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1082</v>
      </c>
      <c r="L55" s="21" t="str">
        <f>VLOOKUP(K55,スキル!$C$4:$D$99,2,FALSE)</f>
        <v>スロウガ</v>
      </c>
      <c r="M55" s="21">
        <f t="shared" si="0"/>
        <v>0</v>
      </c>
      <c r="N55" s="45"/>
      <c r="O55" s="1" t="str">
        <f t="shared" si="1"/>
        <v>INSERT INTO m_my_skills VALUES ('myskill0051','monster009','skill010',FALSE);</v>
      </c>
    </row>
    <row r="56" spans="2:15">
      <c r="B56" s="44" t="s">
        <v>563</v>
      </c>
      <c r="C56" s="21" t="s">
        <v>429</v>
      </c>
      <c r="D56" s="21" t="s">
        <v>1026</v>
      </c>
      <c r="E56" s="21" t="b">
        <v>0</v>
      </c>
      <c r="G56" s="21" t="str">
        <f>VLOOKUP(C56,モンスター!$B$6:$H$100,2,FALSE)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1083</v>
      </c>
      <c r="L56" s="21" t="str">
        <f>VLOOKUP(K56,スキル!$C$4:$D$99,2,FALSE)</f>
        <v>バーサク</v>
      </c>
      <c r="M56" s="21">
        <f t="shared" si="0"/>
        <v>3</v>
      </c>
      <c r="N56" s="45"/>
      <c r="O56" s="1" t="str">
        <f t="shared" si="1"/>
        <v>INSERT INTO m_my_skills VALUES ('myskill0052','monster009','skill013',FALSE);</v>
      </c>
    </row>
    <row r="57" spans="2:15">
      <c r="B57" s="44" t="s">
        <v>564</v>
      </c>
      <c r="C57" s="21" t="s">
        <v>429</v>
      </c>
      <c r="D57" s="21" t="s">
        <v>1170</v>
      </c>
      <c r="E57" s="21" t="b">
        <v>0</v>
      </c>
      <c r="G57" s="21" t="str">
        <f>VLOOKUP(C57,モンスター!$B$6:$H$100,2,FALSE)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1084</v>
      </c>
      <c r="L57" s="21" t="str">
        <f>VLOOKUP(K57,スキル!$C$4:$D$99,2,FALSE)</f>
        <v>ビジョン</v>
      </c>
      <c r="M57" s="21">
        <f t="shared" si="0"/>
        <v>0</v>
      </c>
      <c r="N57" s="45"/>
      <c r="O57" s="1" t="str">
        <f t="shared" si="1"/>
        <v>INSERT INTO m_my_skills VALUES ('myskill0053','monster009','skill052',FALSE);</v>
      </c>
    </row>
    <row r="58" spans="2:15">
      <c r="B58" s="44" t="s">
        <v>565</v>
      </c>
      <c r="C58" s="21" t="s">
        <v>429</v>
      </c>
      <c r="D58" s="21" t="s">
        <v>1039</v>
      </c>
      <c r="E58" s="21" t="b">
        <v>0</v>
      </c>
      <c r="G58" s="21" t="str">
        <f>VLOOKUP(C58,モンスター!$B$6:$H$100,2,FALSE)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1085</v>
      </c>
      <c r="L58" s="21" t="str">
        <f>VLOOKUP(K58,スキル!$C$4:$D$99,2,FALSE)</f>
        <v>エナジーボール</v>
      </c>
      <c r="M58" s="21">
        <f t="shared" si="0"/>
        <v>0</v>
      </c>
      <c r="N58" s="45"/>
      <c r="O58" s="1" t="str">
        <f t="shared" si="1"/>
        <v>INSERT INTO m_my_skills VALUES ('myskill0054','monster009','skill047',FALSE);</v>
      </c>
    </row>
    <row r="59" spans="2:15">
      <c r="B59" s="44" t="s">
        <v>566</v>
      </c>
      <c r="C59" s="21" t="s">
        <v>430</v>
      </c>
      <c r="D59" s="21" t="s">
        <v>1017</v>
      </c>
      <c r="E59" s="21" t="b">
        <v>0</v>
      </c>
      <c r="G59" s="21" t="str">
        <f>VLOOKUP(C59,モンスター!$B$6:$H$100,2,FALSE)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1018</v>
      </c>
      <c r="L59" s="21" t="str">
        <f>VLOOKUP(K59,スキル!$C$4:$D$99,2,FALSE)</f>
        <v>ミスをした</v>
      </c>
      <c r="M59" s="21">
        <f t="shared" si="0"/>
        <v>56</v>
      </c>
      <c r="N59" s="45"/>
      <c r="O59" s="1" t="str">
        <f t="shared" si="1"/>
        <v>INSERT INTO m_my_skills VALUES ('myskill0055','monster010','skill009',FALSE);</v>
      </c>
    </row>
    <row r="60" spans="2:15">
      <c r="B60" s="44" t="s">
        <v>567</v>
      </c>
      <c r="C60" s="21" t="s">
        <v>430</v>
      </c>
      <c r="D60" s="21" t="s">
        <v>1026</v>
      </c>
      <c r="E60" s="21" t="b">
        <v>0</v>
      </c>
      <c r="G60" s="21" t="str">
        <f>VLOOKUP(C60,モンスター!$B$6:$H$100,2,FALSE)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1023</v>
      </c>
      <c r="L60" s="21" t="str">
        <f>VLOOKUP(K60,スキル!$C$4:$D$99,2,FALSE)</f>
        <v>様子を見ている</v>
      </c>
      <c r="M60" s="21">
        <f t="shared" si="0"/>
        <v>18</v>
      </c>
      <c r="N60" s="45"/>
      <c r="O60" s="1" t="str">
        <f t="shared" si="1"/>
        <v>INSERT INTO m_my_skills VALUES ('myskill0056','monster010','skill013',FALSE);</v>
      </c>
    </row>
    <row r="61" spans="2:15">
      <c r="B61" s="44" t="s">
        <v>568</v>
      </c>
      <c r="C61" s="21" t="s">
        <v>430</v>
      </c>
      <c r="D61" s="21" t="s">
        <v>1023</v>
      </c>
      <c r="E61" s="21" t="b">
        <v>0</v>
      </c>
      <c r="G61" s="21" t="str">
        <f>VLOOKUP(C61,モンスター!$B$6:$H$100,2,FALSE)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1035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m_my_skills VALUES ('myskill0057','monster010','skill056',FALSE);</v>
      </c>
    </row>
    <row r="62" spans="2:15">
      <c r="B62" s="44" t="s">
        <v>569</v>
      </c>
      <c r="C62" s="21" t="s">
        <v>430</v>
      </c>
      <c r="D62" s="21" t="s">
        <v>1025</v>
      </c>
      <c r="E62" s="21" t="b">
        <v>0</v>
      </c>
      <c r="G62" s="21" t="str">
        <f>VLOOKUP(C62,モンスター!$B$6:$H$100,2,FALSE)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1069</v>
      </c>
      <c r="L62" s="21" t="str">
        <f>VLOOKUP(K62,スキル!$C$4:$D$99,2,FALSE)</f>
        <v>噛みつき</v>
      </c>
      <c r="M62" s="21">
        <f t="shared" si="0"/>
        <v>7</v>
      </c>
      <c r="N62" s="45"/>
      <c r="O62" s="1" t="str">
        <f t="shared" si="1"/>
        <v>INSERT INTO m_my_skills VALUES ('myskill0058','monster010','skill010',FALSE);</v>
      </c>
    </row>
    <row r="63" spans="2:15">
      <c r="B63" s="44" t="s">
        <v>570</v>
      </c>
      <c r="C63" s="21" t="s">
        <v>430</v>
      </c>
      <c r="D63" s="21" t="s">
        <v>1170</v>
      </c>
      <c r="E63" s="21" t="b">
        <v>0</v>
      </c>
      <c r="G63" s="21" t="str">
        <f>VLOOKUP(C63,モンスター!$B$6:$H$100,2,FALSE)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1070</v>
      </c>
      <c r="L63" s="21" t="str">
        <f>VLOOKUP(K63,スキル!$C$4:$D$99,2,FALSE)</f>
        <v>喰いちぎり</v>
      </c>
      <c r="M63" s="21">
        <f t="shared" si="0"/>
        <v>5</v>
      </c>
      <c r="N63" s="45"/>
      <c r="O63" s="1" t="str">
        <f t="shared" si="1"/>
        <v>INSERT INTO m_my_skills VALUES ('myskill0059','monster010','skill052',FALSE);</v>
      </c>
    </row>
    <row r="64" spans="2:15">
      <c r="B64" s="44" t="s">
        <v>571</v>
      </c>
      <c r="C64" s="21" t="s">
        <v>430</v>
      </c>
      <c r="D64" s="21" t="s">
        <v>1040</v>
      </c>
      <c r="E64" s="21" t="b">
        <v>0</v>
      </c>
      <c r="G64" s="21" t="str">
        <f>VLOOKUP(C64,モンスター!$B$6:$H$100,2,FALSE)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1072</v>
      </c>
      <c r="L64" s="21" t="str">
        <f>VLOOKUP(K64,スキル!$C$4:$D$99,2,FALSE)</f>
        <v>タックル</v>
      </c>
      <c r="M64" s="21">
        <f t="shared" si="0"/>
        <v>22</v>
      </c>
      <c r="N64" s="45"/>
      <c r="O64" s="1" t="str">
        <f t="shared" si="1"/>
        <v>INSERT INTO m_my_skills VALUES ('myskill0060','monster010','skill048',FALSE);</v>
      </c>
    </row>
    <row r="65" spans="2:15">
      <c r="B65" s="44" t="s">
        <v>572</v>
      </c>
      <c r="C65" s="21" t="s">
        <v>431</v>
      </c>
      <c r="D65" s="21" t="s">
        <v>1041</v>
      </c>
      <c r="E65" s="21" t="b">
        <v>0</v>
      </c>
      <c r="G65" s="21" t="str">
        <f>VLOOKUP(C65,モンスター!$B$6:$H$100,2,FALSE)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1076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m_my_skills VALUES ('myskill0061','monster011','skill001',FALSE);</v>
      </c>
    </row>
    <row r="66" spans="2:15">
      <c r="B66" s="44" t="s">
        <v>573</v>
      </c>
      <c r="C66" s="21" t="s">
        <v>431</v>
      </c>
      <c r="D66" s="21" t="s">
        <v>1041</v>
      </c>
      <c r="E66" s="21" t="b">
        <v>0</v>
      </c>
      <c r="G66" s="21" t="str">
        <f>VLOOKUP(C66,モンスター!$B$6:$H$100,2,FALSE)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1074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m_my_skills VALUES ('myskill0062','monster011','skill001',FALSE);</v>
      </c>
    </row>
    <row r="67" spans="2:15">
      <c r="B67" s="44" t="s">
        <v>574</v>
      </c>
      <c r="C67" s="21" t="s">
        <v>431</v>
      </c>
      <c r="D67" s="21" t="s">
        <v>1042</v>
      </c>
      <c r="E67" s="21" t="b">
        <v>0</v>
      </c>
      <c r="G67" s="21" t="str">
        <f>VLOOKUP(C67,モンスター!$B$6:$H$100,2,FALSE)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1075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m_my_skills VALUES ('myskill0063','monster011','skill002',FALSE);</v>
      </c>
    </row>
    <row r="68" spans="2:15">
      <c r="B68" s="44" t="s">
        <v>575</v>
      </c>
      <c r="C68" s="21" t="s">
        <v>431</v>
      </c>
      <c r="D68" s="21" t="s">
        <v>1043</v>
      </c>
      <c r="E68" s="21" t="b">
        <v>0</v>
      </c>
      <c r="G68" s="21" t="str">
        <f>VLOOKUP(C68,モンスター!$B$6:$H$100,2,FALSE)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1077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m_my_skills VALUES ('myskill0064','monster011','skill017',FALSE);</v>
      </c>
    </row>
    <row r="69" spans="2:15">
      <c r="B69" s="44" t="s">
        <v>576</v>
      </c>
      <c r="C69" s="21" t="s">
        <v>431</v>
      </c>
      <c r="D69" s="21" t="s">
        <v>1044</v>
      </c>
      <c r="E69" s="21" t="b">
        <v>0</v>
      </c>
      <c r="G69" s="21" t="str">
        <f>VLOOKUP(C69,モンスター!$B$6:$H$100,2,FALSE)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1078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m_my_skills VALUES ('myskill0065','monster011','skill023',FALSE);</v>
      </c>
    </row>
    <row r="70" spans="2:15">
      <c r="B70" s="44" t="s">
        <v>577</v>
      </c>
      <c r="C70" s="21" t="s">
        <v>431</v>
      </c>
      <c r="D70" s="21" t="s">
        <v>1018</v>
      </c>
      <c r="E70" s="21" t="b">
        <v>0</v>
      </c>
      <c r="G70" s="21" t="str">
        <f>VLOOKUP(C70,モンスター!$B$6:$H$100,2,FALSE)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1071</v>
      </c>
      <c r="L70" s="21" t="str">
        <f>VLOOKUP(K70,スキル!$C$4:$D$99,2,FALSE)</f>
        <v>叩きつけ</v>
      </c>
      <c r="M70" s="21">
        <f t="shared" ref="M70:M86" si="2">COUNTIF($D$5:$D$1000,K70)</f>
        <v>3</v>
      </c>
      <c r="N70" s="45"/>
      <c r="O70" s="1" t="str">
        <f t="shared" ref="O70:O133" si="3">"INSERT INTO m_my_skills VALUES ("&amp;"'"&amp;B70&amp;"'"&amp;","&amp;"'"&amp;C70&amp;"'"&amp;","&amp;"'"&amp;D70&amp;"'"&amp;","&amp;E70&amp;");"</f>
        <v>INSERT INTO m_my_skills VALUES ('myskill0066','monster011','skill055',FALSE);</v>
      </c>
    </row>
    <row r="71" spans="2:15">
      <c r="B71" s="44" t="s">
        <v>578</v>
      </c>
      <c r="C71" s="21" t="s">
        <v>432</v>
      </c>
      <c r="D71" s="21" t="s">
        <v>1041</v>
      </c>
      <c r="E71" s="21" t="b">
        <v>0</v>
      </c>
      <c r="G71" s="21" t="str">
        <f>VLOOKUP(C71,モンスター!$B$6:$H$100,2,FALSE)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1080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m_my_skills VALUES ('myskill0067','monster012','skill001',FALSE);</v>
      </c>
    </row>
    <row r="72" spans="2:15">
      <c r="B72" s="44" t="s">
        <v>579</v>
      </c>
      <c r="C72" s="21" t="s">
        <v>432</v>
      </c>
      <c r="D72" s="21" t="s">
        <v>1042</v>
      </c>
      <c r="E72" s="21" t="b">
        <v>0</v>
      </c>
      <c r="G72" s="21" t="str">
        <f>VLOOKUP(C72,モンスター!$B$6:$H$100,2,FALSE)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1079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m_my_skills VALUES ('myskill0068','monster012','skill002',FALSE);</v>
      </c>
    </row>
    <row r="73" spans="2:15">
      <c r="B73" s="44" t="s">
        <v>580</v>
      </c>
      <c r="C73" s="21" t="s">
        <v>432</v>
      </c>
      <c r="D73" s="21" t="s">
        <v>1045</v>
      </c>
      <c r="E73" s="21" t="b">
        <v>0</v>
      </c>
      <c r="G73" s="21" t="str">
        <f>VLOOKUP(C73,モンスター!$B$6:$H$100,2,FALSE)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1073</v>
      </c>
      <c r="L73" s="21" t="str">
        <f>VLOOKUP(K73,スキル!$C$4:$D$99,2,FALSE)</f>
        <v>首狩り</v>
      </c>
      <c r="M73" s="21">
        <f t="shared" si="2"/>
        <v>2</v>
      </c>
      <c r="N73" s="45"/>
      <c r="O73" s="1" t="str">
        <f t="shared" si="3"/>
        <v>INSERT INTO m_my_skills VALUES ('myskill0069','monster012','skill018',FALSE);</v>
      </c>
    </row>
    <row r="74" spans="2:15">
      <c r="B74" s="44" t="s">
        <v>581</v>
      </c>
      <c r="C74" s="21" t="s">
        <v>432</v>
      </c>
      <c r="D74" s="21" t="s">
        <v>1046</v>
      </c>
      <c r="E74" s="21" t="b">
        <v>0</v>
      </c>
      <c r="G74" s="21" t="str">
        <f>VLOOKUP(C74,モンスター!$B$6:$H$100,2,FALSE)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1086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m_my_skills VALUES ('myskill0070','monster012','skill024',FALSE);</v>
      </c>
    </row>
    <row r="75" spans="2:15">
      <c r="B75" s="44" t="s">
        <v>582</v>
      </c>
      <c r="C75" s="21" t="s">
        <v>432</v>
      </c>
      <c r="D75" s="21" t="s">
        <v>1021</v>
      </c>
      <c r="E75" s="21" t="b">
        <v>0</v>
      </c>
      <c r="G75" s="21" t="str">
        <f>VLOOKUP(C75,モンスター!$B$6:$H$100,2,FALSE)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1087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m_my_skills VALUES ('myskill0071','monster012','skill005',FALSE);</v>
      </c>
    </row>
    <row r="76" spans="2:15">
      <c r="B76" s="44" t="s">
        <v>583</v>
      </c>
      <c r="C76" s="21" t="s">
        <v>432</v>
      </c>
      <c r="D76" s="21" t="s">
        <v>1018</v>
      </c>
      <c r="E76" s="21" t="b">
        <v>0</v>
      </c>
      <c r="G76" s="21" t="str">
        <f>VLOOKUP(C76,モンスター!$B$6:$H$100,2,FALSE)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1088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m_my_skills VALUES ('myskill0072','monster012','skill055',FALSE);</v>
      </c>
    </row>
    <row r="77" spans="2:15">
      <c r="B77" s="44" t="s">
        <v>584</v>
      </c>
      <c r="C77" s="21" t="s">
        <v>433</v>
      </c>
      <c r="D77" s="21" t="s">
        <v>1042</v>
      </c>
      <c r="E77" s="21" t="b">
        <v>0</v>
      </c>
      <c r="G77" s="21" t="str">
        <f>VLOOKUP(C77,モンスター!$B$6:$H$100,2,FALSE)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1089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m_my_skills VALUES ('myskill0073','monster013','skill002',FALSE);</v>
      </c>
    </row>
    <row r="78" spans="2:15">
      <c r="B78" s="44" t="s">
        <v>585</v>
      </c>
      <c r="C78" s="21" t="s">
        <v>433</v>
      </c>
      <c r="D78" s="21" t="s">
        <v>1038</v>
      </c>
      <c r="E78" s="21" t="b">
        <v>0</v>
      </c>
      <c r="G78" s="21" t="str">
        <f>VLOOKUP(C78,モンスター!$B$6:$H$100,2,FALSE)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1090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m_my_skills VALUES ('myskill0074','monster013','skill004',FALSE);</v>
      </c>
    </row>
    <row r="79" spans="2:15">
      <c r="B79" s="44" t="s">
        <v>586</v>
      </c>
      <c r="C79" s="21" t="s">
        <v>433</v>
      </c>
      <c r="D79" s="21" t="s">
        <v>1045</v>
      </c>
      <c r="E79" s="21" t="b">
        <v>0</v>
      </c>
      <c r="G79" s="21" t="str">
        <f>VLOOKUP(C79,モンスター!$B$6:$H$100,2,FALSE)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1091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m_my_skills VALUES ('myskill0075','monster013','skill018',FALSE);</v>
      </c>
    </row>
    <row r="80" spans="2:15">
      <c r="B80" s="44" t="s">
        <v>587</v>
      </c>
      <c r="C80" s="21" t="s">
        <v>433</v>
      </c>
      <c r="D80" s="21" t="s">
        <v>1047</v>
      </c>
      <c r="E80" s="21" t="b">
        <v>0</v>
      </c>
      <c r="G80" s="21" t="str">
        <f>VLOOKUP(C80,モンスター!$B$6:$H$100,2,FALSE)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1092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m_my_skills VALUES ('myskill0076','monster013','skill025',FALSE);</v>
      </c>
    </row>
    <row r="81" spans="2:15">
      <c r="B81" s="44" t="s">
        <v>588</v>
      </c>
      <c r="C81" s="21" t="s">
        <v>433</v>
      </c>
      <c r="D81" s="21" t="s">
        <v>1023</v>
      </c>
      <c r="E81" s="21" t="b">
        <v>0</v>
      </c>
      <c r="G81" s="21" t="str">
        <f>VLOOKUP(C81,モンスター!$B$6:$H$100,2,FALSE)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1093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m_my_skills VALUES ('myskill0077','monster013','skill056',FALSE);</v>
      </c>
    </row>
    <row r="82" spans="2:15">
      <c r="B82" s="44" t="s">
        <v>589</v>
      </c>
      <c r="C82" s="21" t="s">
        <v>433</v>
      </c>
      <c r="D82" s="21" t="s">
        <v>1020</v>
      </c>
      <c r="E82" s="21" t="b">
        <v>0</v>
      </c>
      <c r="G82" s="21" t="str">
        <f>VLOOKUP(C82,モンスター!$B$6:$H$100,2,FALSE)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1094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m_my_skills VALUES ('myskill0078','monster013','skill006',FALSE);</v>
      </c>
    </row>
    <row r="83" spans="2:15">
      <c r="B83" s="44" t="s">
        <v>590</v>
      </c>
      <c r="C83" s="21" t="s">
        <v>434</v>
      </c>
      <c r="D83" s="21" t="s">
        <v>1025</v>
      </c>
      <c r="E83" s="21" t="b">
        <v>0</v>
      </c>
      <c r="G83" s="21" t="str">
        <f>VLOOKUP(C83,モンスター!$B$6:$H$100,2,FALSE)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1095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m_my_skills VALUES ('myskill0079','monster014','skill010',FALSE);</v>
      </c>
    </row>
    <row r="84" spans="2:15">
      <c r="B84" s="44" t="s">
        <v>591</v>
      </c>
      <c r="C84" s="21" t="s">
        <v>434</v>
      </c>
      <c r="D84" s="21" t="s">
        <v>1026</v>
      </c>
      <c r="E84" s="21" t="b">
        <v>0</v>
      </c>
      <c r="G84" s="21" t="str">
        <f>VLOOKUP(C84,モンスター!$B$6:$H$100,2,FALSE)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1096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m_my_skills VALUES ('myskill0080','monster014','skill013',FALSE);</v>
      </c>
    </row>
    <row r="85" spans="2:15">
      <c r="B85" s="44" t="s">
        <v>592</v>
      </c>
      <c r="C85" s="21" t="s">
        <v>434</v>
      </c>
      <c r="D85" s="21" t="s">
        <v>1023</v>
      </c>
      <c r="E85" s="21" t="b">
        <v>0</v>
      </c>
      <c r="G85" s="21" t="str">
        <f>VLOOKUP(C85,モンスター!$B$6:$H$100,2,FALSE)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1097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m_my_skills VALUES ('myskill0081','monster014','skill056',FALSE);</v>
      </c>
    </row>
    <row r="86" spans="2:15">
      <c r="B86" s="44" t="s">
        <v>593</v>
      </c>
      <c r="C86" s="21" t="s">
        <v>434</v>
      </c>
      <c r="D86" s="21" t="s">
        <v>1027</v>
      </c>
      <c r="E86" s="21" t="b">
        <v>0</v>
      </c>
      <c r="G86" s="21" t="str">
        <f>VLOOKUP(C86,モンスター!$B$6:$H$100,2,FALSE)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1098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m_my_skills VALUES ('myskill0082','monster014','skill049',FALSE);</v>
      </c>
    </row>
    <row r="87" spans="2:15">
      <c r="B87" s="44" t="s">
        <v>594</v>
      </c>
      <c r="C87" s="21" t="s">
        <v>434</v>
      </c>
      <c r="D87" s="21" t="s">
        <v>1044</v>
      </c>
      <c r="E87" s="21" t="b">
        <v>0</v>
      </c>
      <c r="G87" s="21" t="str">
        <f>VLOOKUP(C87,モンスター!$B$6:$H$100,2,FALSE)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m_my_skills VALUES ('myskill0083','monster014','skill023',FALSE);</v>
      </c>
    </row>
    <row r="88" spans="2:15">
      <c r="B88" s="44" t="s">
        <v>595</v>
      </c>
      <c r="C88" s="21" t="s">
        <v>434</v>
      </c>
      <c r="D88" s="21" t="s">
        <v>1019</v>
      </c>
      <c r="E88" s="21" t="b">
        <v>0</v>
      </c>
      <c r="G88" s="21" t="str">
        <f>VLOOKUP(C88,モンスター!$B$6:$H$100,2,FALSE)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m_my_skills VALUES ('myskill0084','monster014','skill026',FALSE);</v>
      </c>
    </row>
    <row r="89" spans="2:15">
      <c r="B89" s="44" t="s">
        <v>596</v>
      </c>
      <c r="C89" s="21" t="s">
        <v>435</v>
      </c>
      <c r="D89" s="21" t="s">
        <v>1028</v>
      </c>
      <c r="E89" s="21" t="b">
        <v>0</v>
      </c>
      <c r="G89" s="21" t="str">
        <f>VLOOKUP(C89,モンスター!$B$6:$H$100,2,FALSE)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m_my_skills VALUES ('myskill0085','monster015','skill020',FALSE);</v>
      </c>
    </row>
    <row r="90" spans="2:15">
      <c r="B90" s="44" t="s">
        <v>597</v>
      </c>
      <c r="C90" s="21" t="s">
        <v>435</v>
      </c>
      <c r="D90" s="21" t="s">
        <v>1025</v>
      </c>
      <c r="E90" s="21" t="b">
        <v>0</v>
      </c>
      <c r="G90" s="21" t="str">
        <f>VLOOKUP(C90,モンスター!$B$6:$H$100,2,FALSE)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m_my_skills VALUES ('myskill0086','monster015','skill010',FALSE);</v>
      </c>
    </row>
    <row r="91" spans="2:15">
      <c r="B91" s="44" t="s">
        <v>598</v>
      </c>
      <c r="C91" s="21" t="s">
        <v>435</v>
      </c>
      <c r="D91" s="21" t="s">
        <v>1026</v>
      </c>
      <c r="E91" s="21" t="b">
        <v>0</v>
      </c>
      <c r="G91" s="21" t="str">
        <f>VLOOKUP(C91,モンスター!$B$6:$H$100,2,FALSE)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m_my_skills VALUES ('myskill0087','monster015','skill013',FALSE);</v>
      </c>
    </row>
    <row r="92" spans="2:15">
      <c r="B92" s="44" t="s">
        <v>599</v>
      </c>
      <c r="C92" s="21" t="s">
        <v>435</v>
      </c>
      <c r="D92" s="21" t="s">
        <v>1027</v>
      </c>
      <c r="E92" s="21" t="b">
        <v>0</v>
      </c>
      <c r="G92" s="21" t="str">
        <f>VLOOKUP(C92,モンスター!$B$6:$H$100,2,FALSE)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m_my_skills VALUES ('myskill0088','monster015','skill049',FALSE);</v>
      </c>
    </row>
    <row r="93" spans="2:15">
      <c r="B93" s="44" t="s">
        <v>600</v>
      </c>
      <c r="C93" s="21" t="s">
        <v>435</v>
      </c>
      <c r="D93" s="21" t="s">
        <v>1031</v>
      </c>
      <c r="E93" s="21" t="b">
        <v>0</v>
      </c>
      <c r="G93" s="21" t="str">
        <f>VLOOKUP(C93,モンスター!$B$6:$H$100,2,FALSE)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m_my_skills VALUES ('myskill0089','monster015','skill021',FALSE);</v>
      </c>
    </row>
    <row r="94" spans="2:15">
      <c r="B94" s="44" t="s">
        <v>601</v>
      </c>
      <c r="C94" s="21" t="s">
        <v>435</v>
      </c>
      <c r="D94" s="21" t="s">
        <v>1018</v>
      </c>
      <c r="E94" s="21" t="b">
        <v>0</v>
      </c>
      <c r="G94" s="21" t="str">
        <f>VLOOKUP(C94,モンスター!$B$6:$H$100,2,FALSE)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m_my_skills VALUES ('myskill0090','monster015','skill055',FALSE);</v>
      </c>
    </row>
    <row r="95" spans="2:15">
      <c r="B95" s="44" t="s">
        <v>602</v>
      </c>
      <c r="C95" s="21" t="s">
        <v>436</v>
      </c>
      <c r="D95" s="21" t="s">
        <v>1017</v>
      </c>
      <c r="E95" s="21" t="b">
        <v>0</v>
      </c>
      <c r="G95" s="21" t="str">
        <f>VLOOKUP(C95,モンスター!$B$6:$H$100,2,FALSE)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m_my_skills VALUES ('myskill0091','monster016','skill009',FALSE);</v>
      </c>
    </row>
    <row r="96" spans="2:15">
      <c r="B96" s="44" t="s">
        <v>603</v>
      </c>
      <c r="C96" s="21" t="s">
        <v>436</v>
      </c>
      <c r="D96" s="21" t="s">
        <v>1017</v>
      </c>
      <c r="E96" s="21" t="b">
        <v>0</v>
      </c>
      <c r="G96" s="21" t="str">
        <f>VLOOKUP(C96,モンスター!$B$6:$H$100,2,FALSE)</f>
        <v>アーマーナイト</v>
      </c>
      <c r="H96" s="24">
        <f>VLOOKUP(D96,スキル!$C$4:$O$96,8,FALSE)</f>
        <v>10</v>
      </c>
      <c r="I96" s="25" t="str">
        <f>VLOOKUP(D96,スキル!$C$4:$O$96,2,FALSE)</f>
        <v>斬撃</v>
      </c>
      <c r="N96" s="45"/>
      <c r="O96" s="1" t="str">
        <f t="shared" si="3"/>
        <v>INSERT INTO m_my_skills VALUES ('myskill0092','monster016','skill009',FALSE);</v>
      </c>
    </row>
    <row r="97" spans="2:15">
      <c r="B97" s="44" t="s">
        <v>604</v>
      </c>
      <c r="C97" s="21" t="s">
        <v>436</v>
      </c>
      <c r="D97" s="21" t="s">
        <v>1026</v>
      </c>
      <c r="E97" s="21" t="b">
        <v>0</v>
      </c>
      <c r="G97" s="21" t="str">
        <f>VLOOKUP(C97,モンスター!$B$6:$H$100,2,FALSE)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m_my_skills VALUES ('myskill0093','monster016','skill013',FALSE);</v>
      </c>
    </row>
    <row r="98" spans="2:15">
      <c r="B98" s="44" t="s">
        <v>605</v>
      </c>
      <c r="C98" s="21" t="s">
        <v>436</v>
      </c>
      <c r="D98" s="21" t="s">
        <v>1026</v>
      </c>
      <c r="E98" s="21" t="b">
        <v>0</v>
      </c>
      <c r="G98" s="21" t="str">
        <f>VLOOKUP(C98,モンスター!$B$6:$H$100,2,FALSE)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m_my_skills VALUES ('myskill0094','monster016','skill013',FALSE);</v>
      </c>
    </row>
    <row r="99" spans="2:15">
      <c r="B99" s="44" t="s">
        <v>606</v>
      </c>
      <c r="C99" s="21" t="s">
        <v>436</v>
      </c>
      <c r="D99" s="21" t="s">
        <v>1032</v>
      </c>
      <c r="E99" s="21" t="b">
        <v>0</v>
      </c>
      <c r="G99" s="21" t="str">
        <f>VLOOKUP(C99,モンスター!$B$6:$H$100,2,FALSE)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m_my_skills VALUES ('myskill0095','monster016','skill011',FALSE);</v>
      </c>
    </row>
    <row r="100" spans="2:15">
      <c r="B100" s="44" t="s">
        <v>607</v>
      </c>
      <c r="C100" s="21" t="s">
        <v>436</v>
      </c>
      <c r="D100" s="21" t="s">
        <v>1018</v>
      </c>
      <c r="E100" s="21" t="b">
        <v>0</v>
      </c>
      <c r="G100" s="21" t="str">
        <f>VLOOKUP(C100,モンスター!$B$6:$H$100,2,FALSE)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m_my_skills VALUES ('myskill0096','monster016','skill055',FALSE);</v>
      </c>
    </row>
    <row r="101" spans="2:15">
      <c r="B101" s="44" t="s">
        <v>608</v>
      </c>
      <c r="C101" s="21" t="s">
        <v>437</v>
      </c>
      <c r="D101" s="21" t="s">
        <v>1023</v>
      </c>
      <c r="E101" s="21" t="b">
        <v>0</v>
      </c>
      <c r="G101" s="21" t="str">
        <f>VLOOKUP(C101,モンスター!$B$6:$H$100,2,FALSE)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m_my_skills VALUES ('myskill0097','monster017','skill056',FALSE);</v>
      </c>
    </row>
    <row r="102" spans="2:15">
      <c r="B102" s="44" t="s">
        <v>609</v>
      </c>
      <c r="C102" s="21" t="s">
        <v>437</v>
      </c>
      <c r="D102" s="21" t="s">
        <v>1032</v>
      </c>
      <c r="E102" s="21" t="b">
        <v>0</v>
      </c>
      <c r="G102" s="21" t="str">
        <f>VLOOKUP(C102,モンスター!$B$6:$H$100,2,FALSE)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m_my_skills VALUES ('myskill0098','monster017','skill011',FALSE);</v>
      </c>
    </row>
    <row r="103" spans="2:15">
      <c r="B103" s="44" t="s">
        <v>610</v>
      </c>
      <c r="C103" s="21" t="s">
        <v>437</v>
      </c>
      <c r="D103" s="21" t="s">
        <v>1017</v>
      </c>
      <c r="E103" s="21" t="b">
        <v>0</v>
      </c>
      <c r="G103" s="21" t="str">
        <f>VLOOKUP(C103,モンスター!$B$6:$H$100,2,FALSE)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m_my_skills VALUES ('myskill0099','monster017','skill009',FALSE);</v>
      </c>
    </row>
    <row r="104" spans="2:15">
      <c r="B104" s="44" t="s">
        <v>611</v>
      </c>
      <c r="C104" s="21" t="s">
        <v>437</v>
      </c>
      <c r="D104" s="21" t="s">
        <v>1025</v>
      </c>
      <c r="E104" s="21" t="b">
        <v>0</v>
      </c>
      <c r="G104" s="21" t="str">
        <f>VLOOKUP(C104,モンスター!$B$6:$H$100,2,FALSE)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m_my_skills VALUES ('myskill0100','monster017','skill010',FALSE);</v>
      </c>
    </row>
    <row r="105" spans="2:15">
      <c r="B105" s="44" t="s">
        <v>612</v>
      </c>
      <c r="C105" s="21" t="s">
        <v>437</v>
      </c>
      <c r="D105" s="21" t="s">
        <v>1026</v>
      </c>
      <c r="E105" s="21" t="b">
        <v>0</v>
      </c>
      <c r="G105" s="21" t="str">
        <f>VLOOKUP(C105,モンスター!$B$6:$H$100,2,FALSE)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m_my_skills VALUES ('myskill0101','monster017','skill013',FALSE);</v>
      </c>
    </row>
    <row r="106" spans="2:15">
      <c r="B106" s="44" t="s">
        <v>613</v>
      </c>
      <c r="C106" s="21" t="s">
        <v>437</v>
      </c>
      <c r="D106" s="21" t="s">
        <v>1048</v>
      </c>
      <c r="E106" s="21" t="b">
        <v>0</v>
      </c>
      <c r="G106" s="21" t="str">
        <f>VLOOKUP(C106,モンスター!$B$6:$H$100,2,FALSE)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m_my_skills VALUES ('myskill0102','monster017','skill014',FALSE);</v>
      </c>
    </row>
    <row r="107" spans="2:15">
      <c r="B107" s="44" t="s">
        <v>614</v>
      </c>
      <c r="C107" s="21" t="s">
        <v>438</v>
      </c>
      <c r="D107" s="21" t="s">
        <v>1035</v>
      </c>
      <c r="E107" s="21" t="b">
        <v>0</v>
      </c>
      <c r="G107" s="21" t="str">
        <f>VLOOKUP(C107,モンスター!$B$6:$H$100,2,FALSE)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m_my_skills VALUES ('myskill0103','monster018','skill057',FALSE);</v>
      </c>
    </row>
    <row r="108" spans="2:15">
      <c r="B108" s="44" t="s">
        <v>615</v>
      </c>
      <c r="C108" s="21" t="s">
        <v>438</v>
      </c>
      <c r="D108" s="21" t="s">
        <v>1023</v>
      </c>
      <c r="E108" s="21" t="b">
        <v>0</v>
      </c>
      <c r="G108" s="21" t="str">
        <f>VLOOKUP(C108,モンスター!$B$6:$H$100,2,FALSE)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m_my_skills VALUES ('myskill0104','monster018','skill056',FALSE);</v>
      </c>
    </row>
    <row r="109" spans="2:15">
      <c r="B109" s="44" t="s">
        <v>616</v>
      </c>
      <c r="C109" s="21" t="s">
        <v>438</v>
      </c>
      <c r="D109" s="21" t="s">
        <v>1049</v>
      </c>
      <c r="E109" s="21" t="b">
        <v>0</v>
      </c>
      <c r="G109" s="21" t="str">
        <f>VLOOKUP(C109,モンスター!$B$6:$H$100,2,FALSE)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m_my_skills VALUES ('myskill0105','monster018','skill012',FALSE);</v>
      </c>
    </row>
    <row r="110" spans="2:15">
      <c r="B110" s="44" t="s">
        <v>617</v>
      </c>
      <c r="C110" s="21" t="s">
        <v>438</v>
      </c>
      <c r="D110" s="21" t="s">
        <v>1050</v>
      </c>
      <c r="E110" s="21" t="b">
        <v>0</v>
      </c>
      <c r="G110" s="21" t="str">
        <f>VLOOKUP(C110,モンスター!$B$6:$H$100,2,FALSE)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m_my_skills VALUES ('myskill0106','monster018','skill015',FALSE);</v>
      </c>
    </row>
    <row r="111" spans="2:15">
      <c r="B111" s="44" t="s">
        <v>618</v>
      </c>
      <c r="C111" s="21" t="s">
        <v>438</v>
      </c>
      <c r="D111" s="21" t="s">
        <v>1051</v>
      </c>
      <c r="E111" s="21" t="b">
        <v>0</v>
      </c>
      <c r="G111" s="21" t="str">
        <f>VLOOKUP(C111,モンスター!$B$6:$H$100,2,FALSE)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m_my_skills VALUES ('myskill0107','monster018','skill040',FALSE);</v>
      </c>
    </row>
    <row r="112" spans="2:15">
      <c r="B112" s="44" t="s">
        <v>619</v>
      </c>
      <c r="C112" s="21" t="s">
        <v>438</v>
      </c>
      <c r="D112" s="21" t="s">
        <v>1052</v>
      </c>
      <c r="E112" s="21" t="b">
        <v>0</v>
      </c>
      <c r="G112" s="21" t="str">
        <f>VLOOKUP(C112,モンスター!$B$6:$H$100,2,FALSE)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m_my_skills VALUES ('myskill0108','monster018','skill016',FALSE);</v>
      </c>
    </row>
    <row r="113" spans="2:15">
      <c r="B113" s="44" t="s">
        <v>620</v>
      </c>
      <c r="C113" s="21" t="s">
        <v>439</v>
      </c>
      <c r="D113" s="21" t="s">
        <v>1043</v>
      </c>
      <c r="E113" s="21" t="b">
        <v>0</v>
      </c>
      <c r="G113" s="21" t="str">
        <f>VLOOKUP(C113,モンスター!$B$6:$H$100,2,FALSE)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m_my_skills VALUES ('myskill0109','monster019','skill017',FALSE);</v>
      </c>
    </row>
    <row r="114" spans="2:15">
      <c r="B114" s="44" t="s">
        <v>621</v>
      </c>
      <c r="C114" s="21" t="s">
        <v>439</v>
      </c>
      <c r="D114" s="21" t="s">
        <v>1028</v>
      </c>
      <c r="E114" s="21" t="b">
        <v>0</v>
      </c>
      <c r="G114" s="21" t="str">
        <f>VLOOKUP(C114,モンスター!$B$6:$H$100,2,FALSE)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m_my_skills VALUES ('myskill0110','monster019','skill020',FALSE);</v>
      </c>
    </row>
    <row r="115" spans="2:15">
      <c r="B115" s="44" t="s">
        <v>622</v>
      </c>
      <c r="C115" s="21" t="s">
        <v>439</v>
      </c>
      <c r="D115" s="21" t="s">
        <v>1044</v>
      </c>
      <c r="E115" s="21" t="b">
        <v>0</v>
      </c>
      <c r="G115" s="21" t="str">
        <f>VLOOKUP(C115,モンスター!$B$6:$H$100,2,FALSE)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m_my_skills VALUES ('myskill0111','monster019','skill023',FALSE);</v>
      </c>
    </row>
    <row r="116" spans="2:15">
      <c r="B116" s="44" t="s">
        <v>623</v>
      </c>
      <c r="C116" s="21" t="s">
        <v>439</v>
      </c>
      <c r="D116" s="21" t="s">
        <v>1019</v>
      </c>
      <c r="E116" s="21" t="b">
        <v>0</v>
      </c>
      <c r="G116" s="21" t="str">
        <f>VLOOKUP(C116,モンスター!$B$6:$H$100,2,FALSE)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m_my_skills VALUES ('myskill0112','monster019','skill026',FALSE);</v>
      </c>
    </row>
    <row r="117" spans="2:15">
      <c r="B117" s="44" t="s">
        <v>624</v>
      </c>
      <c r="C117" s="21" t="s">
        <v>439</v>
      </c>
      <c r="D117" s="21" t="s">
        <v>1018</v>
      </c>
      <c r="E117" s="21" t="b">
        <v>0</v>
      </c>
      <c r="G117" s="21" t="str">
        <f>VLOOKUP(C117,モンスター!$B$6:$H$100,2,FALSE)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m_my_skills VALUES ('myskill0113','monster019','skill055',FALSE);</v>
      </c>
    </row>
    <row r="118" spans="2:15">
      <c r="B118" s="44" t="s">
        <v>625</v>
      </c>
      <c r="C118" s="21" t="s">
        <v>439</v>
      </c>
      <c r="D118" s="21" t="s">
        <v>1053</v>
      </c>
      <c r="E118" s="21" t="b">
        <v>0</v>
      </c>
      <c r="G118" s="21" t="str">
        <f>VLOOKUP(C118,モンスター!$B$6:$H$100,2,FALSE)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m_my_skills VALUES ('myskill0114','monster019','skill035',FALSE);</v>
      </c>
    </row>
    <row r="119" spans="2:15">
      <c r="B119" s="44" t="s">
        <v>626</v>
      </c>
      <c r="C119" s="21" t="s">
        <v>440</v>
      </c>
      <c r="D119" s="21" t="s">
        <v>1045</v>
      </c>
      <c r="E119" s="21" t="b">
        <v>0</v>
      </c>
      <c r="G119" s="21" t="str">
        <f>VLOOKUP(C119,モンスター!$B$6:$H$100,2,FALSE)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m_my_skills VALUES ('myskill0115','monster020','skill018',FALSE);</v>
      </c>
    </row>
    <row r="120" spans="2:15">
      <c r="B120" s="44" t="s">
        <v>627</v>
      </c>
      <c r="C120" s="21" t="s">
        <v>440</v>
      </c>
      <c r="D120" s="21" t="s">
        <v>1031</v>
      </c>
      <c r="E120" s="21" t="b">
        <v>0</v>
      </c>
      <c r="G120" s="21" t="str">
        <f>VLOOKUP(C120,モンスター!$B$6:$H$100,2,FALSE)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m_my_skills VALUES ('myskill0116','monster020','skill021',FALSE);</v>
      </c>
    </row>
    <row r="121" spans="2:15">
      <c r="B121" s="44" t="s">
        <v>628</v>
      </c>
      <c r="C121" s="21" t="s">
        <v>440</v>
      </c>
      <c r="D121" s="21" t="s">
        <v>1046</v>
      </c>
      <c r="E121" s="21" t="b">
        <v>0</v>
      </c>
      <c r="G121" s="21" t="str">
        <f>VLOOKUP(C121,モンスター!$B$6:$H$100,2,FALSE)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m_my_skills VALUES ('myskill0117','monster020','skill024',FALSE);</v>
      </c>
    </row>
    <row r="122" spans="2:15">
      <c r="B122" s="44" t="s">
        <v>629</v>
      </c>
      <c r="C122" s="21" t="s">
        <v>440</v>
      </c>
      <c r="D122" s="21" t="s">
        <v>1022</v>
      </c>
      <c r="E122" s="21" t="b">
        <v>0</v>
      </c>
      <c r="G122" s="21" t="str">
        <f>VLOOKUP(C122,モンスター!$B$6:$H$100,2,FALSE)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m_my_skills VALUES ('myskill0118','monster020','skill027',FALSE);</v>
      </c>
    </row>
    <row r="123" spans="2:15">
      <c r="B123" s="44" t="s">
        <v>630</v>
      </c>
      <c r="C123" s="21" t="s">
        <v>440</v>
      </c>
      <c r="D123" s="21" t="s">
        <v>1054</v>
      </c>
      <c r="E123" s="21" t="b">
        <v>0</v>
      </c>
      <c r="G123" s="21" t="str">
        <f>VLOOKUP(C123,モンスター!$B$6:$H$100,2,FALSE)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m_my_skills VALUES ('myskill0119','monster020','skill044',FALSE);</v>
      </c>
    </row>
    <row r="124" spans="2:15">
      <c r="B124" s="44" t="s">
        <v>631</v>
      </c>
      <c r="C124" s="21" t="s">
        <v>440</v>
      </c>
      <c r="D124" s="21" t="s">
        <v>1023</v>
      </c>
      <c r="E124" s="21" t="b">
        <v>0</v>
      </c>
      <c r="G124" s="21" t="str">
        <f>VLOOKUP(C124,モンスター!$B$6:$H$100,2,FALSE)</f>
        <v>ウィザード</v>
      </c>
      <c r="H124" s="24">
        <f>VLOOKUP(D124,スキル!$C$4:$O$96,8,FALSE)</f>
        <v>0</v>
      </c>
      <c r="I124" s="25" t="str">
        <f>VLOOKUP(D124,スキル!$C$4:$O$96,2,FALSE)</f>
        <v>様子を見ている</v>
      </c>
      <c r="N124" s="45"/>
      <c r="O124" s="1" t="str">
        <f t="shared" si="3"/>
        <v>INSERT INTO m_my_skills VALUES ('myskill0120','monster020','skill056',FALSE);</v>
      </c>
    </row>
    <row r="125" spans="2:15">
      <c r="B125" s="44" t="s">
        <v>632</v>
      </c>
      <c r="C125" s="21" t="s">
        <v>441</v>
      </c>
      <c r="D125" s="21" t="s">
        <v>1055</v>
      </c>
      <c r="E125" s="21" t="b">
        <v>0</v>
      </c>
      <c r="G125" s="21" t="str">
        <f>VLOOKUP(C125,モンスター!$B$6:$H$100,2,FALSE)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m_my_skills VALUES ('myskill0121','monster021','skill019',FALSE);</v>
      </c>
    </row>
    <row r="126" spans="2:15">
      <c r="B126" s="44" t="s">
        <v>633</v>
      </c>
      <c r="C126" s="21" t="s">
        <v>441</v>
      </c>
      <c r="D126" s="21" t="s">
        <v>1056</v>
      </c>
      <c r="E126" s="21" t="b">
        <v>0</v>
      </c>
      <c r="G126" s="21" t="str">
        <f>VLOOKUP(C126,モンスター!$B$6:$H$100,2,FALSE)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m_my_skills VALUES ('myskill0122','monster021','skill022',FALSE);</v>
      </c>
    </row>
    <row r="127" spans="2:15">
      <c r="B127" s="44" t="s">
        <v>634</v>
      </c>
      <c r="C127" s="21" t="s">
        <v>441</v>
      </c>
      <c r="D127" s="21" t="s">
        <v>1047</v>
      </c>
      <c r="E127" s="21" t="b">
        <v>0</v>
      </c>
      <c r="G127" s="21" t="str">
        <f>VLOOKUP(C127,モンスター!$B$6:$H$100,2,FALSE)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m_my_skills VALUES ('myskill0123','monster021','skill025',FALSE);</v>
      </c>
    </row>
    <row r="128" spans="2:15">
      <c r="B128" s="44" t="s">
        <v>635</v>
      </c>
      <c r="C128" s="21" t="s">
        <v>441</v>
      </c>
      <c r="D128" s="21" t="s">
        <v>1022</v>
      </c>
      <c r="E128" s="21" t="b">
        <v>0</v>
      </c>
      <c r="G128" s="21" t="str">
        <f>VLOOKUP(C128,モンスター!$B$6:$H$100,2,FALSE)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m_my_skills VALUES ('myskill0124','monster021','skill027',FALSE);</v>
      </c>
    </row>
    <row r="129" spans="2:15">
      <c r="B129" s="44" t="s">
        <v>636</v>
      </c>
      <c r="C129" s="21" t="s">
        <v>441</v>
      </c>
      <c r="D129" s="21" t="s">
        <v>1023</v>
      </c>
      <c r="E129" s="21" t="b">
        <v>0</v>
      </c>
      <c r="G129" s="21" t="str">
        <f>VLOOKUP(C129,モンスター!$B$6:$H$100,2,FALSE)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様子を見ている</v>
      </c>
      <c r="N129" s="45"/>
      <c r="O129" s="1" t="str">
        <f t="shared" si="3"/>
        <v>INSERT INTO m_my_skills VALUES ('myskill0125','monster021','skill056',FALSE);</v>
      </c>
    </row>
    <row r="130" spans="2:15">
      <c r="B130" s="44" t="s">
        <v>637</v>
      </c>
      <c r="C130" s="21" t="s">
        <v>441</v>
      </c>
      <c r="D130" s="21" t="s">
        <v>1057</v>
      </c>
      <c r="E130" s="21" t="b">
        <v>0</v>
      </c>
      <c r="G130" s="21" t="str">
        <f>VLOOKUP(C130,モンスター!$B$6:$H$100,2,FALSE)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m_my_skills VALUES ('myskill0126','monster021','skill038',FALSE);</v>
      </c>
    </row>
    <row r="131" spans="2:15">
      <c r="B131" s="44" t="s">
        <v>638</v>
      </c>
      <c r="C131" s="21" t="s">
        <v>442</v>
      </c>
      <c r="D131" s="21" t="s">
        <v>1041</v>
      </c>
      <c r="E131" s="21" t="b">
        <v>0</v>
      </c>
      <c r="G131" s="21" t="str">
        <f>VLOOKUP(C131,モンスター!$B$6:$H$100,2,FALSE)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m_my_skills VALUES ('myskill0127','monster022','skill001',FALSE);</v>
      </c>
    </row>
    <row r="132" spans="2:15">
      <c r="B132" s="44" t="s">
        <v>639</v>
      </c>
      <c r="C132" s="21" t="s">
        <v>442</v>
      </c>
      <c r="D132" s="21" t="s">
        <v>1041</v>
      </c>
      <c r="E132" s="21" t="b">
        <v>0</v>
      </c>
      <c r="G132" s="21" t="str">
        <f>VLOOKUP(C132,モンスター!$B$6:$H$100,2,FALSE)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m_my_skills VALUES ('myskill0128','monster022','skill001',FALSE);</v>
      </c>
    </row>
    <row r="133" spans="2:15">
      <c r="B133" s="44" t="s">
        <v>640</v>
      </c>
      <c r="C133" s="21" t="s">
        <v>442</v>
      </c>
      <c r="D133" s="21" t="s">
        <v>1054</v>
      </c>
      <c r="E133" s="21" t="b">
        <v>0</v>
      </c>
      <c r="G133" s="21" t="str">
        <f>VLOOKUP(C133,モンスター!$B$6:$H$100,2,FALSE)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m_my_skills VALUES ('myskill0129','monster022','skill044',FALSE);</v>
      </c>
    </row>
    <row r="134" spans="2:15">
      <c r="B134" s="44" t="s">
        <v>641</v>
      </c>
      <c r="C134" s="21" t="s">
        <v>442</v>
      </c>
      <c r="D134" s="21" t="s">
        <v>1039</v>
      </c>
      <c r="E134" s="21" t="b">
        <v>0</v>
      </c>
      <c r="G134" s="21" t="str">
        <f>VLOOKUP(C134,モンスター!$B$6:$H$100,2,FALSE)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m_my_skills VALUES ("&amp;"'"&amp;B134&amp;"'"&amp;","&amp;"'"&amp;C134&amp;"'"&amp;","&amp;"'"&amp;D134&amp;"'"&amp;","&amp;E134&amp;");"</f>
        <v>INSERT INTO m_my_skills VALUES ('myskill0130','monster022','skill047',FALSE);</v>
      </c>
    </row>
    <row r="135" spans="2:15">
      <c r="B135" s="44" t="s">
        <v>642</v>
      </c>
      <c r="C135" s="21" t="s">
        <v>442</v>
      </c>
      <c r="D135" s="21" t="s">
        <v>1018</v>
      </c>
      <c r="E135" s="21" t="b">
        <v>0</v>
      </c>
      <c r="G135" s="21" t="str">
        <f>VLOOKUP(C135,モンスター!$B$6:$H$100,2,FALSE)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m_my_skills VALUES ('myskill0131','monster022','skill055',FALSE);</v>
      </c>
    </row>
    <row r="136" spans="2:15">
      <c r="B136" s="44" t="s">
        <v>643</v>
      </c>
      <c r="C136" s="21" t="s">
        <v>442</v>
      </c>
      <c r="D136" s="21" t="s">
        <v>1025</v>
      </c>
      <c r="E136" s="21" t="b">
        <v>0</v>
      </c>
      <c r="G136" s="21" t="str">
        <f>VLOOKUP(C136,モンスター!$B$6:$H$100,2,FALSE)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m_my_skills VALUES ('myskill0132','monster022','skill010',FALSE);</v>
      </c>
    </row>
    <row r="137" spans="2:15">
      <c r="B137" s="44" t="s">
        <v>644</v>
      </c>
      <c r="C137" s="21" t="s">
        <v>443</v>
      </c>
      <c r="D137" s="21" t="s">
        <v>1042</v>
      </c>
      <c r="E137" s="21" t="b">
        <v>0</v>
      </c>
      <c r="G137" s="21" t="str">
        <f>VLOOKUP(C137,モンスター!$B$6:$H$100,2,FALSE)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m_my_skills VALUES ('myskill0133','monster023','skill002',FALSE);</v>
      </c>
    </row>
    <row r="138" spans="2:15">
      <c r="B138" s="44" t="s">
        <v>645</v>
      </c>
      <c r="C138" s="21" t="s">
        <v>443</v>
      </c>
      <c r="D138" s="21" t="s">
        <v>1041</v>
      </c>
      <c r="E138" s="21" t="b">
        <v>0</v>
      </c>
      <c r="G138" s="21" t="str">
        <f>VLOOKUP(C138,モンスター!$B$6:$H$100,2,FALSE)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m_my_skills VALUES ('myskill0134','monster023','skill001',FALSE);</v>
      </c>
    </row>
    <row r="139" spans="2:15">
      <c r="B139" s="44" t="s">
        <v>646</v>
      </c>
      <c r="C139" s="21" t="s">
        <v>443</v>
      </c>
      <c r="D139" s="21" t="s">
        <v>1058</v>
      </c>
      <c r="E139" s="21" t="b">
        <v>0</v>
      </c>
      <c r="G139" s="21" t="str">
        <f>VLOOKUP(C139,モンスター!$B$6:$H$100,2,FALSE)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m_my_skills VALUES ('myskill0135','monster023','skill045',FALSE);</v>
      </c>
    </row>
    <row r="140" spans="2:15">
      <c r="B140" s="44" t="s">
        <v>647</v>
      </c>
      <c r="C140" s="21" t="s">
        <v>443</v>
      </c>
      <c r="D140" s="21" t="s">
        <v>1059</v>
      </c>
      <c r="E140" s="21" t="b">
        <v>0</v>
      </c>
      <c r="G140" s="21" t="str">
        <f>VLOOKUP(C140,モンスター!$B$6:$H$100,2,FALSE)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m_my_skills VALUES ('myskill0136','monster023','skill046',FALSE);</v>
      </c>
    </row>
    <row r="141" spans="2:15">
      <c r="B141" s="44" t="s">
        <v>648</v>
      </c>
      <c r="C141" s="21" t="s">
        <v>443</v>
      </c>
      <c r="D141" s="21" t="s">
        <v>1018</v>
      </c>
      <c r="E141" s="21" t="b">
        <v>0</v>
      </c>
      <c r="G141" s="21" t="str">
        <f>VLOOKUP(C141,モンスター!$B$6:$H$100,2,FALSE)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m_my_skills VALUES ('myskill0137','monster023','skill055',FALSE);</v>
      </c>
    </row>
    <row r="142" spans="2:15">
      <c r="B142" s="44" t="s">
        <v>649</v>
      </c>
      <c r="C142" s="21" t="s">
        <v>443</v>
      </c>
      <c r="D142" s="21" t="s">
        <v>1042</v>
      </c>
      <c r="E142" s="21" t="b">
        <v>0</v>
      </c>
      <c r="G142" s="21" t="str">
        <f>VLOOKUP(C142,モンスター!$B$6:$H$100,2,FALSE)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m_my_skills VALUES ('myskill0138','monster023','skill002',FALSE);</v>
      </c>
    </row>
    <row r="143" spans="2:15">
      <c r="B143" s="44" t="s">
        <v>650</v>
      </c>
      <c r="C143" s="21" t="s">
        <v>444</v>
      </c>
      <c r="D143" s="21" t="s">
        <v>1017</v>
      </c>
      <c r="E143" s="21" t="b">
        <v>0</v>
      </c>
      <c r="G143" s="21" t="str">
        <f>VLOOKUP(C143,モンスター!$B$6:$H$100,2,FALSE)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m_my_skills VALUES ('myskill0139','monster024','skill009',FALSE);</v>
      </c>
    </row>
    <row r="144" spans="2:15">
      <c r="B144" s="44" t="s">
        <v>651</v>
      </c>
      <c r="C144" s="21" t="s">
        <v>444</v>
      </c>
      <c r="D144" s="21" t="s">
        <v>1017</v>
      </c>
      <c r="E144" s="21" t="b">
        <v>0</v>
      </c>
      <c r="G144" s="21" t="str">
        <f>VLOOKUP(C144,モンスター!$B$6:$H$100,2,FALSE)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m_my_skills VALUES ('myskill0140','monster024','skill009',FALSE);</v>
      </c>
    </row>
    <row r="145" spans="2:15">
      <c r="B145" s="44" t="s">
        <v>652</v>
      </c>
      <c r="C145" s="21" t="s">
        <v>444</v>
      </c>
      <c r="D145" s="21" t="s">
        <v>1017</v>
      </c>
      <c r="E145" s="21" t="b">
        <v>0</v>
      </c>
      <c r="G145" s="21" t="str">
        <f>VLOOKUP(C145,モンスター!$B$6:$H$100,2,FALSE)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m_my_skills VALUES ('myskill0141','monster024','skill009',FALSE);</v>
      </c>
    </row>
    <row r="146" spans="2:15">
      <c r="B146" s="44" t="s">
        <v>653</v>
      </c>
      <c r="C146" s="21" t="s">
        <v>444</v>
      </c>
      <c r="D146" s="21" t="s">
        <v>1019</v>
      </c>
      <c r="E146" s="21" t="b">
        <v>0</v>
      </c>
      <c r="G146" s="21" t="str">
        <f>VLOOKUP(C146,モンスター!$B$6:$H$100,2,FALSE)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m_my_skills VALUES ('myskill0142','monster024','skill026',FALSE);</v>
      </c>
    </row>
    <row r="147" spans="2:15">
      <c r="B147" s="44" t="s">
        <v>654</v>
      </c>
      <c r="C147" s="21" t="s">
        <v>444</v>
      </c>
      <c r="D147" s="21" t="s">
        <v>1053</v>
      </c>
      <c r="E147" s="21" t="b">
        <v>0</v>
      </c>
      <c r="G147" s="21" t="str">
        <f>VLOOKUP(C147,モンスター!$B$6:$H$100,2,FALSE)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m_my_skills VALUES ('myskill0143','monster024','skill035',FALSE);</v>
      </c>
    </row>
    <row r="148" spans="2:15">
      <c r="B148" s="44" t="s">
        <v>655</v>
      </c>
      <c r="C148" s="21" t="s">
        <v>444</v>
      </c>
      <c r="D148" s="21" t="s">
        <v>1018</v>
      </c>
      <c r="E148" s="21" t="b">
        <v>0</v>
      </c>
      <c r="G148" s="21" t="str">
        <f>VLOOKUP(C148,モンスター!$B$6:$H$100,2,FALSE)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m_my_skills VALUES ('myskill0144','monster024','skill055',FALSE);</v>
      </c>
    </row>
    <row r="149" spans="2:15">
      <c r="B149" s="44" t="s">
        <v>656</v>
      </c>
      <c r="C149" s="21" t="s">
        <v>445</v>
      </c>
      <c r="D149" s="21" t="s">
        <v>1017</v>
      </c>
      <c r="E149" s="21" t="b">
        <v>0</v>
      </c>
      <c r="G149" s="21" t="str">
        <f>VLOOKUP(C149,モンスター!$B$6:$H$100,2,FALSE)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m_my_skills VALUES ('myskill0145','monster025','skill009',FALSE);</v>
      </c>
    </row>
    <row r="150" spans="2:15">
      <c r="B150" s="44" t="s">
        <v>657</v>
      </c>
      <c r="C150" s="21" t="s">
        <v>445</v>
      </c>
      <c r="D150" s="21" t="s">
        <v>1025</v>
      </c>
      <c r="E150" s="21" t="b">
        <v>0</v>
      </c>
      <c r="G150" s="21" t="str">
        <f>VLOOKUP(C150,モンスター!$B$6:$H$100,2,FALSE)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m_my_skills VALUES ('myskill0146','monster025','skill010',FALSE);</v>
      </c>
    </row>
    <row r="151" spans="2:15">
      <c r="B151" s="44" t="s">
        <v>658</v>
      </c>
      <c r="C151" s="21" t="s">
        <v>445</v>
      </c>
      <c r="D151" s="21" t="s">
        <v>1017</v>
      </c>
      <c r="E151" s="21" t="b">
        <v>0</v>
      </c>
      <c r="G151" s="21" t="str">
        <f>VLOOKUP(C151,モンスター!$B$6:$H$100,2,FALSE)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m_my_skills VALUES ('myskill0147','monster025','skill009',FALSE);</v>
      </c>
    </row>
    <row r="152" spans="2:15">
      <c r="B152" s="44" t="s">
        <v>659</v>
      </c>
      <c r="C152" s="21" t="s">
        <v>445</v>
      </c>
      <c r="D152" s="21" t="s">
        <v>1019</v>
      </c>
      <c r="E152" s="21" t="b">
        <v>0</v>
      </c>
      <c r="G152" s="21" t="str">
        <f>VLOOKUP(C152,モンスター!$B$6:$H$100,2,FALSE)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m_my_skills VALUES ('myskill0148','monster025','skill026',FALSE);</v>
      </c>
    </row>
    <row r="153" spans="2:15">
      <c r="B153" s="44" t="s">
        <v>660</v>
      </c>
      <c r="C153" s="21" t="s">
        <v>445</v>
      </c>
      <c r="D153" s="21" t="s">
        <v>1037</v>
      </c>
      <c r="E153" s="21" t="b">
        <v>0</v>
      </c>
      <c r="G153" s="21" t="str">
        <f>VLOOKUP(C153,モンスター!$B$6:$H$100,2,FALSE)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m_my_skills VALUES ('myskill0149','monster025','skill036',FALSE);</v>
      </c>
    </row>
    <row r="154" spans="2:15">
      <c r="B154" s="44" t="s">
        <v>661</v>
      </c>
      <c r="C154" s="21" t="s">
        <v>445</v>
      </c>
      <c r="D154" s="21" t="s">
        <v>1018</v>
      </c>
      <c r="E154" s="21" t="b">
        <v>0</v>
      </c>
      <c r="G154" s="21" t="str">
        <f>VLOOKUP(C154,モンスター!$B$6:$H$100,2,FALSE)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m_my_skills VALUES ('myskill0150','monster025','skill055',FALSE);</v>
      </c>
    </row>
    <row r="155" spans="2:15">
      <c r="B155" s="44" t="s">
        <v>662</v>
      </c>
      <c r="C155" s="21" t="s">
        <v>446</v>
      </c>
      <c r="D155" s="21" t="s">
        <v>1041</v>
      </c>
      <c r="E155" s="21" t="b">
        <v>0</v>
      </c>
      <c r="G155" s="21" t="str">
        <f>VLOOKUP(C155,モンスター!$B$6:$H$100,2,FALSE)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m_my_skills VALUES ('myskill0151','monster026','skill001',FALSE);</v>
      </c>
    </row>
    <row r="156" spans="2:15">
      <c r="B156" s="44" t="s">
        <v>663</v>
      </c>
      <c r="C156" s="21" t="s">
        <v>446</v>
      </c>
      <c r="D156" s="21" t="s">
        <v>1017</v>
      </c>
      <c r="E156" s="21" t="b">
        <v>0</v>
      </c>
      <c r="G156" s="21" t="str">
        <f>VLOOKUP(C156,モンスター!$B$6:$H$100,2,FALSE)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m_my_skills VALUES ('myskill0152','monster026','skill009',FALSE);</v>
      </c>
    </row>
    <row r="157" spans="2:15">
      <c r="B157" s="44" t="s">
        <v>664</v>
      </c>
      <c r="C157" s="21" t="s">
        <v>446</v>
      </c>
      <c r="D157" s="21" t="s">
        <v>1043</v>
      </c>
      <c r="E157" s="21" t="b">
        <v>0</v>
      </c>
      <c r="G157" s="21" t="str">
        <f>VLOOKUP(C157,モンスター!$B$6:$H$100,2,FALSE)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m_my_skills VALUES ('myskill0153','monster026','skill017',FALSE);</v>
      </c>
    </row>
    <row r="158" spans="2:15">
      <c r="B158" s="44" t="s">
        <v>665</v>
      </c>
      <c r="C158" s="21" t="s">
        <v>446</v>
      </c>
      <c r="D158" s="21" t="s">
        <v>1054</v>
      </c>
      <c r="E158" s="21" t="b">
        <v>0</v>
      </c>
      <c r="G158" s="21" t="str">
        <f>VLOOKUP(C158,モンスター!$B$6:$H$100,2,FALSE)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m_my_skills VALUES ('myskill0154','monster026','skill044',FALSE);</v>
      </c>
    </row>
    <row r="159" spans="2:15">
      <c r="B159" s="44" t="s">
        <v>666</v>
      </c>
      <c r="C159" s="21" t="s">
        <v>446</v>
      </c>
      <c r="D159" s="21" t="s">
        <v>1018</v>
      </c>
      <c r="E159" s="21" t="b">
        <v>0</v>
      </c>
      <c r="G159" s="21" t="str">
        <f>VLOOKUP(C159,モンスター!$B$6:$H$100,2,FALSE)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m_my_skills VALUES ('myskill0155','monster026','skill055',FALSE);</v>
      </c>
    </row>
    <row r="160" spans="2:15">
      <c r="B160" s="44" t="s">
        <v>667</v>
      </c>
      <c r="C160" s="21" t="s">
        <v>446</v>
      </c>
      <c r="D160" s="21" t="s">
        <v>1054</v>
      </c>
      <c r="E160" s="21" t="b">
        <v>0</v>
      </c>
      <c r="G160" s="21" t="str">
        <f>VLOOKUP(C160,モンスター!$B$6:$H$100,2,FALSE)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m_my_skills VALUES ('myskill0156','monster026','skill044',FALSE);</v>
      </c>
    </row>
    <row r="161" spans="2:15">
      <c r="B161" s="44" t="s">
        <v>668</v>
      </c>
      <c r="C161" s="21" t="s">
        <v>447</v>
      </c>
      <c r="D161" s="21" t="s">
        <v>1041</v>
      </c>
      <c r="E161" s="21" t="b">
        <v>0</v>
      </c>
      <c r="G161" s="21" t="str">
        <f>VLOOKUP(C161,モンスター!$B$6:$H$100,2,FALSE)</f>
        <v>プチドラゾンビ</v>
      </c>
      <c r="H161" s="24">
        <f>VLOOKUP(D161,スキル!$C$4:$O$96,8,FALSE)</f>
        <v>10</v>
      </c>
      <c r="I161" s="25" t="str">
        <f>VLOOKUP(D161,スキル!$C$4:$O$96,2,FALSE)</f>
        <v>打撃</v>
      </c>
      <c r="N161" s="45"/>
      <c r="O161" s="1" t="str">
        <f t="shared" si="4"/>
        <v>INSERT INTO m_my_skills VALUES ('myskill0157','monster027','skill001',FALSE);</v>
      </c>
    </row>
    <row r="162" spans="2:15">
      <c r="B162" s="44" t="s">
        <v>669</v>
      </c>
      <c r="C162" s="21" t="s">
        <v>447</v>
      </c>
      <c r="D162" s="21" t="s">
        <v>1042</v>
      </c>
      <c r="E162" s="21" t="b">
        <v>0</v>
      </c>
      <c r="G162" s="21" t="str">
        <f>VLOOKUP(C162,モンスター!$B$6:$H$100,2,FALSE)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m_my_skills VALUES ('myskill0158','monster027','skill002',FALSE);</v>
      </c>
    </row>
    <row r="163" spans="2:15">
      <c r="B163" s="44" t="s">
        <v>670</v>
      </c>
      <c r="C163" s="21" t="s">
        <v>447</v>
      </c>
      <c r="D163" s="21" t="s">
        <v>1034</v>
      </c>
      <c r="E163" s="21" t="b">
        <v>0</v>
      </c>
      <c r="G163" s="21" t="str">
        <f>VLOOKUP(C163,モンスター!$B$6:$H$100,2,FALSE)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m_my_skills VALUES ('myskill0159','monster027','skill033',FALSE);</v>
      </c>
    </row>
    <row r="164" spans="2:15">
      <c r="B164" s="44" t="s">
        <v>671</v>
      </c>
      <c r="C164" s="21" t="s">
        <v>447</v>
      </c>
      <c r="D164" s="21" t="s">
        <v>1039</v>
      </c>
      <c r="E164" s="21" t="b">
        <v>0</v>
      </c>
      <c r="G164" s="21" t="str">
        <f>VLOOKUP(C164,モンスター!$B$6:$H$100,2,FALSE)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m_my_skills VALUES ('myskill0160','monster027','skill047',FALSE);</v>
      </c>
    </row>
    <row r="165" spans="2:15">
      <c r="B165" s="44" t="s">
        <v>672</v>
      </c>
      <c r="C165" s="21" t="s">
        <v>447</v>
      </c>
      <c r="D165" s="21" t="s">
        <v>1018</v>
      </c>
      <c r="E165" s="21" t="b">
        <v>0</v>
      </c>
      <c r="G165" s="21" t="str">
        <f>VLOOKUP(C165,モンスター!$B$6:$H$100,2,FALSE)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m_my_skills VALUES ('myskill0161','monster027','skill055',FALSE);</v>
      </c>
    </row>
    <row r="166" spans="2:15">
      <c r="B166" s="44" t="s">
        <v>673</v>
      </c>
      <c r="C166" s="21" t="s">
        <v>447</v>
      </c>
      <c r="D166" s="21" t="s">
        <v>1033</v>
      </c>
      <c r="E166" s="21" t="b">
        <v>0</v>
      </c>
      <c r="G166" s="21" t="str">
        <f>VLOOKUP(C166,モンスター!$B$6:$H$100,2,FALSE)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m_my_skills VALUES ('myskill0162','monster027','skill032',FALSE);</v>
      </c>
    </row>
    <row r="167" spans="2:15">
      <c r="B167" s="44" t="s">
        <v>674</v>
      </c>
      <c r="C167" s="21" t="s">
        <v>448</v>
      </c>
      <c r="D167" s="21" t="s">
        <v>1031</v>
      </c>
      <c r="E167" s="21" t="b">
        <v>0</v>
      </c>
      <c r="G167" s="21" t="str">
        <f>VLOOKUP(C167,モンスター!$B$6:$H$100,2,FALSE)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m_my_skills VALUES ('myskill0163','monster028','skill021',FALSE);</v>
      </c>
    </row>
    <row r="168" spans="2:15">
      <c r="B168" s="44" t="s">
        <v>675</v>
      </c>
      <c r="C168" s="21" t="s">
        <v>448</v>
      </c>
      <c r="D168" s="21" t="s">
        <v>1042</v>
      </c>
      <c r="E168" s="21" t="b">
        <v>0</v>
      </c>
      <c r="G168" s="21" t="str">
        <f>VLOOKUP(C168,モンスター!$B$6:$H$100,2,FALSE)</f>
        <v>フロストドラゴン</v>
      </c>
      <c r="H168" s="24">
        <f>VLOOKUP(D168,スキル!$C$4:$O$96,8,FALSE)</f>
        <v>20</v>
      </c>
      <c r="I168" s="25" t="str">
        <f>VLOOKUP(D168,スキル!$C$4:$O$96,2,FALSE)</f>
        <v>正拳突き</v>
      </c>
      <c r="N168" s="45"/>
      <c r="O168" s="1" t="str">
        <f t="shared" si="4"/>
        <v>INSERT INTO m_my_skills VALUES ('myskill0164','monster028','skill002',FALSE);</v>
      </c>
    </row>
    <row r="169" spans="2:15">
      <c r="B169" s="44" t="s">
        <v>676</v>
      </c>
      <c r="C169" s="21" t="s">
        <v>448</v>
      </c>
      <c r="D169" s="21" t="s">
        <v>1056</v>
      </c>
      <c r="E169" s="21" t="b">
        <v>0</v>
      </c>
      <c r="G169" s="21" t="str">
        <f>VLOOKUP(C169,モンスター!$B$6:$H$100,2,FALSE)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m_my_skills VALUES ('myskill0165','monster028','skill022',FALSE);</v>
      </c>
    </row>
    <row r="170" spans="2:15">
      <c r="B170" s="44" t="s">
        <v>677</v>
      </c>
      <c r="C170" s="21" t="s">
        <v>448</v>
      </c>
      <c r="D170" s="21" t="s">
        <v>1042</v>
      </c>
      <c r="E170" s="21" t="b">
        <v>0</v>
      </c>
      <c r="G170" s="21" t="str">
        <f>VLOOKUP(C170,モンスター!$B$6:$H$100,2,FALSE)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m_my_skills VALUES ('myskill0166','monster028','skill002',FALSE);</v>
      </c>
    </row>
    <row r="171" spans="2:15">
      <c r="B171" s="44" t="s">
        <v>678</v>
      </c>
      <c r="C171" s="21" t="s">
        <v>448</v>
      </c>
      <c r="D171" s="21" t="s">
        <v>1018</v>
      </c>
      <c r="E171" s="21" t="b">
        <v>0</v>
      </c>
      <c r="G171" s="21" t="str">
        <f>VLOOKUP(C171,モンスター!$B$6:$H$100,2,FALSE)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m_my_skills VALUES ('myskill0167','monster028','skill055',FALSE);</v>
      </c>
    </row>
    <row r="172" spans="2:15">
      <c r="B172" s="44" t="s">
        <v>679</v>
      </c>
      <c r="C172" s="21" t="s">
        <v>448</v>
      </c>
      <c r="D172" s="21" t="s">
        <v>1017</v>
      </c>
      <c r="E172" s="21" t="b">
        <v>0</v>
      </c>
      <c r="G172" s="21" t="str">
        <f>VLOOKUP(C172,モンスター!$B$6:$H$100,2,FALSE)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m_my_skills VALUES ('myskill0168','monster028','skill009',FALSE);</v>
      </c>
    </row>
    <row r="173" spans="2:15">
      <c r="B173" s="44" t="s">
        <v>680</v>
      </c>
      <c r="C173" s="21" t="s">
        <v>449</v>
      </c>
      <c r="D173" s="21" t="s">
        <v>1032</v>
      </c>
      <c r="E173" s="21" t="b">
        <v>0</v>
      </c>
      <c r="G173" s="21" t="str">
        <f>VLOOKUP(C173,モンスター!$B$6:$H$100,2,FALSE)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m_my_skills VALUES ('myskill0169','monster029','skill011',FALSE);</v>
      </c>
    </row>
    <row r="174" spans="2:15">
      <c r="B174" s="44" t="s">
        <v>681</v>
      </c>
      <c r="C174" s="21" t="s">
        <v>449</v>
      </c>
      <c r="D174" s="21" t="s">
        <v>1060</v>
      </c>
      <c r="E174" s="21" t="b">
        <v>0</v>
      </c>
      <c r="G174" s="21" t="str">
        <f>VLOOKUP(C174,モンスター!$B$6:$H$100,2,FALSE)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m_my_skills VALUES ('myskill0170','monster029','skill008',FALSE);</v>
      </c>
    </row>
    <row r="175" spans="2:15">
      <c r="B175" s="44" t="s">
        <v>682</v>
      </c>
      <c r="C175" s="21" t="s">
        <v>449</v>
      </c>
      <c r="D175" s="21" t="s">
        <v>1018</v>
      </c>
      <c r="E175" s="21" t="b">
        <v>0</v>
      </c>
      <c r="G175" s="21" t="str">
        <f>VLOOKUP(C175,モンスター!$B$6:$H$100,2,FALSE)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m_my_skills VALUES ('myskill0171','monster029','skill055',FALSE);</v>
      </c>
    </row>
    <row r="176" spans="2:15">
      <c r="B176" s="44" t="s">
        <v>683</v>
      </c>
      <c r="C176" s="21" t="s">
        <v>449</v>
      </c>
      <c r="D176" s="21" t="s">
        <v>1058</v>
      </c>
      <c r="E176" s="21" t="b">
        <v>0</v>
      </c>
      <c r="G176" s="21" t="str">
        <f>VLOOKUP(C176,モンスター!$B$6:$H$100,2,FALSE)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m_my_skills VALUES ('myskill0172','monster029','skill045',FALSE);</v>
      </c>
    </row>
    <row r="177" spans="2:15">
      <c r="B177" s="44" t="s">
        <v>684</v>
      </c>
      <c r="C177" s="21" t="s">
        <v>449</v>
      </c>
      <c r="D177" s="21" t="s">
        <v>1047</v>
      </c>
      <c r="E177" s="21" t="b">
        <v>0</v>
      </c>
      <c r="G177" s="21" t="str">
        <f>VLOOKUP(C177,モンスター!$B$6:$H$100,2,FALSE)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m_my_skills VALUES ('myskill0173','monster029','skill025',FALSE);</v>
      </c>
    </row>
    <row r="178" spans="2:15">
      <c r="B178" s="44" t="s">
        <v>685</v>
      </c>
      <c r="C178" s="21" t="s">
        <v>449</v>
      </c>
      <c r="D178" s="21" t="s">
        <v>1061</v>
      </c>
      <c r="E178" s="21" t="b">
        <v>0</v>
      </c>
      <c r="G178" s="21" t="str">
        <f>VLOOKUP(C178,モンスター!$B$6:$H$100,2,FALSE)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m_my_skills VALUES ('myskill0174','monster029','skill041',FALSE);</v>
      </c>
    </row>
    <row r="179" spans="2:15">
      <c r="B179" s="44" t="s">
        <v>686</v>
      </c>
      <c r="C179" s="21" t="s">
        <v>450</v>
      </c>
      <c r="D179" s="21" t="s">
        <v>1041</v>
      </c>
      <c r="E179" s="21" t="b">
        <v>0</v>
      </c>
      <c r="G179" s="21" t="str">
        <f>VLOOKUP(C179,モンスター!$B$6:$H$100,2,FALSE)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m_my_skills VALUES ('myskill0175','monster030','skill001',FALSE);</v>
      </c>
    </row>
    <row r="180" spans="2:15">
      <c r="B180" s="44" t="s">
        <v>687</v>
      </c>
      <c r="C180" s="21" t="s">
        <v>450</v>
      </c>
      <c r="D180" s="21" t="s">
        <v>1041</v>
      </c>
      <c r="E180" s="21" t="b">
        <v>0</v>
      </c>
      <c r="G180" s="21" t="str">
        <f>VLOOKUP(C180,モンスター!$B$6:$H$100,2,FALSE)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m_my_skills VALUES ('myskill0176','monster030','skill001',FALSE);</v>
      </c>
    </row>
    <row r="181" spans="2:15">
      <c r="B181" s="44" t="s">
        <v>688</v>
      </c>
      <c r="C181" s="21" t="s">
        <v>450</v>
      </c>
      <c r="D181" s="21" t="s">
        <v>1062</v>
      </c>
      <c r="E181" s="21" t="b">
        <v>0</v>
      </c>
      <c r="G181" s="21" t="str">
        <f>VLOOKUP(C181,モンスター!$B$6:$H$100,2,FALSE)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m_my_skills VALUES ('myskill0177','monster030','skill039',FALSE);</v>
      </c>
    </row>
    <row r="182" spans="2:15">
      <c r="B182" s="44" t="s">
        <v>689</v>
      </c>
      <c r="C182" s="21" t="s">
        <v>450</v>
      </c>
      <c r="D182" s="21" t="s">
        <v>1063</v>
      </c>
      <c r="E182" s="21" t="b">
        <v>0</v>
      </c>
      <c r="G182" s="21" t="str">
        <f>VLOOKUP(C182,モンスター!$B$6:$H$100,2,FALSE)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m_my_skills VALUES ('myskill0178','monster030','skill029',FALSE);</v>
      </c>
    </row>
    <row r="183" spans="2:15">
      <c r="B183" s="44" t="s">
        <v>690</v>
      </c>
      <c r="C183" s="21" t="s">
        <v>450</v>
      </c>
      <c r="D183" s="21" t="s">
        <v>1063</v>
      </c>
      <c r="E183" s="21" t="b">
        <v>0</v>
      </c>
      <c r="G183" s="21" t="str">
        <f>VLOOKUP(C183,モンスター!$B$6:$H$100,2,FALSE)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m_my_skills VALUES ('myskill0179','monster030','skill029',FALSE);</v>
      </c>
    </row>
    <row r="184" spans="2:15">
      <c r="B184" s="44" t="s">
        <v>691</v>
      </c>
      <c r="C184" s="21" t="s">
        <v>450</v>
      </c>
      <c r="D184" s="21" t="s">
        <v>1018</v>
      </c>
      <c r="E184" s="21" t="b">
        <v>0</v>
      </c>
      <c r="G184" s="21" t="str">
        <f>VLOOKUP(C184,モンスター!$B$6:$H$100,2,FALSE)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m_my_skills VALUES ('myskill0180','monster030','skill055',FALSE);</v>
      </c>
    </row>
    <row r="185" spans="2:15">
      <c r="B185" s="44" t="s">
        <v>692</v>
      </c>
      <c r="C185" s="21" t="s">
        <v>451</v>
      </c>
      <c r="D185" s="21" t="s">
        <v>1041</v>
      </c>
      <c r="E185" s="21" t="b">
        <v>0</v>
      </c>
      <c r="G185" s="21" t="str">
        <f>VLOOKUP(C185,モンスター!$B$6:$H$100,2,FALSE)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m_my_skills VALUES ('myskill0181','monster031','skill001',FALSE);</v>
      </c>
    </row>
    <row r="186" spans="2:15">
      <c r="B186" s="44" t="s">
        <v>693</v>
      </c>
      <c r="C186" s="21" t="s">
        <v>451</v>
      </c>
      <c r="D186" s="21" t="s">
        <v>1042</v>
      </c>
      <c r="E186" s="21" t="b">
        <v>0</v>
      </c>
      <c r="G186" s="21" t="str">
        <f>VLOOKUP(C186,モンスター!$B$6:$H$100,2,FALSE)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m_my_skills VALUES ('myskill0182','monster031','skill002',FALSE);</v>
      </c>
    </row>
    <row r="187" spans="2:15">
      <c r="B187" s="44" t="s">
        <v>694</v>
      </c>
      <c r="C187" s="21" t="s">
        <v>451</v>
      </c>
      <c r="D187" s="21" t="s">
        <v>1029</v>
      </c>
      <c r="E187" s="21" t="b">
        <v>0</v>
      </c>
      <c r="G187" s="21" t="str">
        <f>VLOOKUP(C187,モンスター!$B$6:$H$100,2,FALSE)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m_my_skills VALUES ('myskill0183','monster031','skill043',FALSE);</v>
      </c>
    </row>
    <row r="188" spans="2:15">
      <c r="B188" s="44" t="s">
        <v>695</v>
      </c>
      <c r="C188" s="21" t="s">
        <v>451</v>
      </c>
      <c r="D188" s="21" t="s">
        <v>1063</v>
      </c>
      <c r="E188" s="21" t="b">
        <v>0</v>
      </c>
      <c r="G188" s="21" t="str">
        <f>VLOOKUP(C188,モンスター!$B$6:$H$100,2,FALSE)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m_my_skills VALUES ('myskill0184','monster031','skill029',FALSE);</v>
      </c>
    </row>
    <row r="189" spans="2:15">
      <c r="B189" s="44" t="s">
        <v>696</v>
      </c>
      <c r="C189" s="21" t="s">
        <v>451</v>
      </c>
      <c r="D189" s="21" t="s">
        <v>1064</v>
      </c>
      <c r="E189" s="21" t="b">
        <v>0</v>
      </c>
      <c r="G189" s="21" t="str">
        <f>VLOOKUP(C189,モンスター!$B$6:$H$100,2,FALSE)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m_my_skills VALUES ('myskill0185','monster031','skill030',FALSE);</v>
      </c>
    </row>
    <row r="190" spans="2:15">
      <c r="B190" s="44" t="s">
        <v>697</v>
      </c>
      <c r="C190" s="21" t="s">
        <v>451</v>
      </c>
      <c r="D190" s="21" t="s">
        <v>1018</v>
      </c>
      <c r="E190" s="21" t="b">
        <v>0</v>
      </c>
      <c r="G190" s="21" t="str">
        <f>VLOOKUP(C190,モンスター!$B$6:$H$100,2,FALSE)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m_my_skills VALUES ('myskill0186','monster031','skill055',FALSE);</v>
      </c>
    </row>
    <row r="191" spans="2:15">
      <c r="B191" s="44" t="s">
        <v>698</v>
      </c>
      <c r="C191" s="21" t="s">
        <v>452</v>
      </c>
      <c r="D191" s="21" t="s">
        <v>1065</v>
      </c>
      <c r="E191" s="21" t="b">
        <v>0</v>
      </c>
      <c r="G191" s="21" t="str">
        <f>VLOOKUP(C191,モンスター!$B$6:$H$100,2,FALSE)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m_my_skills VALUES ('myskill0187','monster032','skill003',FALSE);</v>
      </c>
    </row>
    <row r="192" spans="2:15">
      <c r="B192" s="44" t="s">
        <v>699</v>
      </c>
      <c r="C192" s="21" t="s">
        <v>452</v>
      </c>
      <c r="D192" s="21" t="s">
        <v>1042</v>
      </c>
      <c r="E192" s="21" t="b">
        <v>0</v>
      </c>
      <c r="G192" s="21" t="str">
        <f>VLOOKUP(C192,モンスター!$B$6:$H$100,2,FALSE)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m_my_skills VALUES ('myskill0188','monster032','skill002',FALSE);</v>
      </c>
    </row>
    <row r="193" spans="2:15">
      <c r="B193" s="44" t="s">
        <v>700</v>
      </c>
      <c r="C193" s="21" t="s">
        <v>452</v>
      </c>
      <c r="D193" s="21" t="s">
        <v>1066</v>
      </c>
      <c r="E193" s="21" t="b">
        <v>0</v>
      </c>
      <c r="G193" s="21" t="str">
        <f>VLOOKUP(C193,モンスター!$B$6:$H$100,2,FALSE)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m_my_skills VALUES ('myskill0189','monster032','skill042',FALSE);</v>
      </c>
    </row>
    <row r="194" spans="2:15">
      <c r="B194" s="44" t="s">
        <v>701</v>
      </c>
      <c r="C194" s="21" t="s">
        <v>452</v>
      </c>
      <c r="D194" s="21" t="s">
        <v>1063</v>
      </c>
      <c r="E194" s="21" t="b">
        <v>0</v>
      </c>
      <c r="G194" s="21" t="str">
        <f>VLOOKUP(C194,モンスター!$B$6:$H$100,2,FALSE)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m_my_skills VALUES ('myskill0190','monster032','skill029',FALSE);</v>
      </c>
    </row>
    <row r="195" spans="2:15">
      <c r="B195" s="44" t="s">
        <v>702</v>
      </c>
      <c r="C195" s="21" t="s">
        <v>452</v>
      </c>
      <c r="D195" s="21" t="s">
        <v>1067</v>
      </c>
      <c r="E195" s="21" t="b">
        <v>0</v>
      </c>
      <c r="G195" s="21" t="str">
        <f>VLOOKUP(C195,モンスター!$B$6:$H$100,2,FALSE)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m_my_skills VALUES ('myskill0191','monster032','skill031',FALSE);</v>
      </c>
    </row>
    <row r="196" spans="2:15">
      <c r="B196" s="44" t="s">
        <v>703</v>
      </c>
      <c r="C196" s="21" t="s">
        <v>452</v>
      </c>
      <c r="D196" s="21" t="s">
        <v>1023</v>
      </c>
      <c r="E196" s="21" t="b">
        <v>0</v>
      </c>
      <c r="G196" s="21" t="str">
        <f>VLOOKUP(C196,モンスター!$B$6:$H$100,2,FALSE)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m_my_skills VALUES ('myskill0192','monster032','skill056',FALSE);</v>
      </c>
    </row>
    <row r="197" spans="2:15">
      <c r="B197" s="44" t="s">
        <v>704</v>
      </c>
      <c r="C197" s="21" t="s">
        <v>453</v>
      </c>
      <c r="D197" s="21" t="s">
        <v>1041</v>
      </c>
      <c r="E197" s="21" t="b">
        <v>0</v>
      </c>
      <c r="G197" s="21" t="str">
        <f>VLOOKUP(C197,モンスター!$B$6:$H$100,2,FALSE)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m_my_skills VALUES ('myskill0193','monster033','skill001',FALSE);</v>
      </c>
    </row>
    <row r="198" spans="2:15">
      <c r="B198" s="44" t="s">
        <v>705</v>
      </c>
      <c r="C198" s="21" t="s">
        <v>453</v>
      </c>
      <c r="D198" s="21" t="s">
        <v>1053</v>
      </c>
      <c r="E198" s="21" t="b">
        <v>0</v>
      </c>
      <c r="G198" s="21" t="str">
        <f>VLOOKUP(C198,モンスター!$B$6:$H$100,2,FALSE)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m_my_skills VALUES ("&amp;"'"&amp;B198&amp;"'"&amp;","&amp;"'"&amp;C198&amp;"'"&amp;","&amp;"'"&amp;D198&amp;"'"&amp;","&amp;E198&amp;");"</f>
        <v>INSERT INTO m_my_skills VALUES ('myskill0194','monster033','skill035',FALSE);</v>
      </c>
    </row>
    <row r="199" spans="2:15">
      <c r="B199" s="44" t="s">
        <v>706</v>
      </c>
      <c r="C199" s="21" t="s">
        <v>453</v>
      </c>
      <c r="D199" s="21" t="s">
        <v>1033</v>
      </c>
      <c r="E199" s="21" t="b">
        <v>0</v>
      </c>
      <c r="G199" s="21" t="str">
        <f>VLOOKUP(C199,モンスター!$B$6:$H$100,2,FALSE)</f>
        <v>プリースト</v>
      </c>
      <c r="H199" s="24" t="str">
        <f>VLOOKUP(D199,スキル!$C$4:$O$96,8,FALSE)</f>
        <v>10</v>
      </c>
      <c r="I199" s="25" t="str">
        <f>VLOOKUP(D199,スキル!$C$4:$O$96,2,FALSE)</f>
        <v>イビルゲート</v>
      </c>
      <c r="N199" s="45"/>
      <c r="O199" s="1" t="str">
        <f t="shared" si="5"/>
        <v>INSERT INTO m_my_skills VALUES ('myskill0195','monster033','skill032',FALSE);</v>
      </c>
    </row>
    <row r="200" spans="2:15">
      <c r="B200" s="44" t="s">
        <v>707</v>
      </c>
      <c r="C200" s="21" t="s">
        <v>453</v>
      </c>
      <c r="D200" s="21" t="s">
        <v>1033</v>
      </c>
      <c r="E200" s="21" t="b">
        <v>0</v>
      </c>
      <c r="G200" s="21" t="str">
        <f>VLOOKUP(C200,モンスター!$B$6:$H$100,2,FALSE)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m_my_skills VALUES ('myskill0196','monster033','skill032',FALSE);</v>
      </c>
    </row>
    <row r="201" spans="2:15">
      <c r="B201" s="44" t="s">
        <v>708</v>
      </c>
      <c r="C201" s="21" t="s">
        <v>453</v>
      </c>
      <c r="D201" s="21" t="s">
        <v>1062</v>
      </c>
      <c r="E201" s="21" t="b">
        <v>0</v>
      </c>
      <c r="G201" s="21" t="str">
        <f>VLOOKUP(C201,モンスター!$B$6:$H$100,2,FALSE)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m_my_skills VALUES ('myskill0197','monster033','skill039',FALSE);</v>
      </c>
    </row>
    <row r="202" spans="2:15">
      <c r="B202" s="44" t="s">
        <v>709</v>
      </c>
      <c r="C202" s="21" t="s">
        <v>453</v>
      </c>
      <c r="D202" s="21" t="s">
        <v>1018</v>
      </c>
      <c r="E202" s="21" t="b">
        <v>0</v>
      </c>
      <c r="G202" s="21" t="str">
        <f>VLOOKUP(C202,モンスター!$B$6:$H$100,2,FALSE)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m_my_skills VALUES ('myskill0198','monster033','skill055',FALSE);</v>
      </c>
    </row>
    <row r="203" spans="2:15">
      <c r="B203" s="44" t="s">
        <v>710</v>
      </c>
      <c r="C203" s="21" t="s">
        <v>454</v>
      </c>
      <c r="D203" s="21" t="s">
        <v>1042</v>
      </c>
      <c r="E203" s="21" t="b">
        <v>0</v>
      </c>
      <c r="G203" s="21" t="str">
        <f>VLOOKUP(C203,モンスター!$B$6:$H$100,2,FALSE)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m_my_skills VALUES ('myskill0199','monster034','skill002',FALSE);</v>
      </c>
    </row>
    <row r="204" spans="2:15">
      <c r="B204" s="44" t="s">
        <v>711</v>
      </c>
      <c r="C204" s="21" t="s">
        <v>454</v>
      </c>
      <c r="D204" s="21" t="s">
        <v>1037</v>
      </c>
      <c r="E204" s="21" t="b">
        <v>0</v>
      </c>
      <c r="G204" s="21" t="str">
        <f>VLOOKUP(C204,モンスター!$B$6:$H$100,2,FALSE)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m_my_skills VALUES ('myskill0200','monster034','skill036',FALSE);</v>
      </c>
    </row>
    <row r="205" spans="2:15">
      <c r="B205" s="44" t="s">
        <v>712</v>
      </c>
      <c r="C205" s="21" t="s">
        <v>454</v>
      </c>
      <c r="D205" s="21" t="s">
        <v>1033</v>
      </c>
      <c r="E205" s="21" t="b">
        <v>0</v>
      </c>
      <c r="G205" s="21" t="str">
        <f>VLOOKUP(C205,モンスター!$B$6:$H$100,2,FALSE)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m_my_skills VALUES ('myskill0201','monster034','skill032',FALSE);</v>
      </c>
    </row>
    <row r="206" spans="2:15">
      <c r="B206" s="44" t="s">
        <v>713</v>
      </c>
      <c r="C206" s="21" t="s">
        <v>454</v>
      </c>
      <c r="D206" s="21" t="s">
        <v>1034</v>
      </c>
      <c r="E206" s="21" t="b">
        <v>0</v>
      </c>
      <c r="G206" s="21" t="str">
        <f>VLOOKUP(C206,モンスター!$B$6:$H$100,2,FALSE)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m_my_skills VALUES ('myskill0202','monster034','skill033',FALSE);</v>
      </c>
    </row>
    <row r="207" spans="2:15">
      <c r="B207" s="44" t="s">
        <v>714</v>
      </c>
      <c r="C207" s="21" t="s">
        <v>454</v>
      </c>
      <c r="D207" s="21" t="s">
        <v>1051</v>
      </c>
      <c r="E207" s="21" t="b">
        <v>0</v>
      </c>
      <c r="G207" s="21" t="str">
        <f>VLOOKUP(C207,モンスター!$B$6:$H$100,2,FALSE)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m_my_skills VALUES ('myskill0203','monster034','skill040',FALSE);</v>
      </c>
    </row>
    <row r="208" spans="2:15">
      <c r="B208" s="44" t="s">
        <v>715</v>
      </c>
      <c r="C208" s="21" t="s">
        <v>454</v>
      </c>
      <c r="D208" s="21" t="s">
        <v>1018</v>
      </c>
      <c r="E208" s="21" t="b">
        <v>0</v>
      </c>
      <c r="G208" s="21" t="str">
        <f>VLOOKUP(C208,モンスター!$B$6:$H$100,2,FALSE)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m_my_skills VALUES ('myskill0204','monster034','skill055',FALSE);</v>
      </c>
    </row>
    <row r="209" spans="2:15">
      <c r="B209" s="44" t="s">
        <v>716</v>
      </c>
      <c r="C209" s="21" t="s">
        <v>455</v>
      </c>
      <c r="D209" s="21" t="s">
        <v>1042</v>
      </c>
      <c r="E209" s="21" t="b">
        <v>0</v>
      </c>
      <c r="G209" s="21" t="str">
        <f>VLOOKUP(C209,モンスター!$B$6:$H$100,2,FALSE)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m_my_skills VALUES ('myskill0205','monster035','skill002',FALSE);</v>
      </c>
    </row>
    <row r="210" spans="2:15">
      <c r="B210" s="44" t="s">
        <v>717</v>
      </c>
      <c r="C210" s="21" t="s">
        <v>455</v>
      </c>
      <c r="D210" s="21" t="s">
        <v>1057</v>
      </c>
      <c r="E210" s="21" t="b">
        <v>0</v>
      </c>
      <c r="G210" s="21" t="str">
        <f>VLOOKUP(C210,モンスター!$B$6:$H$100,2,FALSE)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m_my_skills VALUES ('myskill0206','monster035','skill038',FALSE);</v>
      </c>
    </row>
    <row r="211" spans="2:15">
      <c r="B211" s="44" t="s">
        <v>718</v>
      </c>
      <c r="C211" s="21" t="s">
        <v>455</v>
      </c>
      <c r="D211" s="21" t="s">
        <v>1036</v>
      </c>
      <c r="E211" s="21" t="b">
        <v>0</v>
      </c>
      <c r="G211" s="21" t="str">
        <f>VLOOKUP(C211,モンスター!$B$6:$H$100,2,FALSE)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m_my_skills VALUES ('myskill0207','monster035','skill034',FALSE);</v>
      </c>
    </row>
    <row r="212" spans="2:15">
      <c r="B212" s="44" t="s">
        <v>719</v>
      </c>
      <c r="C212" s="21" t="s">
        <v>455</v>
      </c>
      <c r="D212" s="21" t="s">
        <v>1064</v>
      </c>
      <c r="E212" s="21" t="b">
        <v>0</v>
      </c>
      <c r="G212" s="21" t="str">
        <f>VLOOKUP(C212,モンスター!$B$6:$H$100,2,FALSE)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m_my_skills VALUES ('myskill0208','monster035','skill030',FALSE);</v>
      </c>
    </row>
    <row r="213" spans="2:15">
      <c r="B213" s="44" t="s">
        <v>720</v>
      </c>
      <c r="C213" s="21" t="s">
        <v>455</v>
      </c>
      <c r="D213" s="21" t="s">
        <v>1068</v>
      </c>
      <c r="E213" s="21" t="b">
        <v>0</v>
      </c>
      <c r="G213" s="21" t="str">
        <f>VLOOKUP(C213,モンスター!$B$6:$H$100,2,FALSE)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m_my_skills VALUES ('myskill0209','monster035','skill037',FALSE);</v>
      </c>
    </row>
    <row r="214" spans="2:15">
      <c r="B214" s="44" t="s">
        <v>721</v>
      </c>
      <c r="C214" s="21" t="s">
        <v>455</v>
      </c>
      <c r="D214" s="21" t="s">
        <v>1018</v>
      </c>
      <c r="E214" s="21" t="b">
        <v>0</v>
      </c>
      <c r="G214" s="21" t="str">
        <f>VLOOKUP(C214,モンスター!$B$6:$H$100,2,FALSE)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m_my_skills VALUES ('myskill0210','monster035','skill055',FALSE);</v>
      </c>
    </row>
    <row r="215" spans="2:15">
      <c r="B215" s="44" t="s">
        <v>722</v>
      </c>
      <c r="C215" s="21" t="s">
        <v>456</v>
      </c>
      <c r="D215" s="21" t="s">
        <v>1041</v>
      </c>
      <c r="E215" s="21" t="b">
        <v>0</v>
      </c>
      <c r="G215" s="21" t="str">
        <f>VLOOKUP(C215,モンスター!$B$6:$H$100,2,FALSE)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m_my_skills VALUES ('myskill0211','monster036','skill001',FALSE);</v>
      </c>
    </row>
    <row r="216" spans="2:15">
      <c r="B216" s="44" t="s">
        <v>723</v>
      </c>
      <c r="C216" s="21" t="s">
        <v>456</v>
      </c>
      <c r="D216" s="21" t="s">
        <v>1041</v>
      </c>
      <c r="E216" s="21" t="b">
        <v>0</v>
      </c>
      <c r="G216" s="21" t="str">
        <f>VLOOKUP(C216,モンスター!$B$6:$H$100,2,FALSE)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m_my_skills VALUES ('myskill0212','monster036','skill001',FALSE);</v>
      </c>
    </row>
    <row r="217" spans="2:15">
      <c r="B217" s="44" t="s">
        <v>724</v>
      </c>
      <c r="C217" s="21" t="s">
        <v>456</v>
      </c>
      <c r="D217" s="21" t="s">
        <v>1041</v>
      </c>
      <c r="E217" s="21" t="b">
        <v>0</v>
      </c>
      <c r="G217" s="21" t="str">
        <f>VLOOKUP(C217,モンスター!$B$6:$H$100,2,FALSE)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m_my_skills VALUES ('myskill0213','monster036','skill001',FALSE);</v>
      </c>
    </row>
    <row r="218" spans="2:15">
      <c r="B218" s="44" t="s">
        <v>725</v>
      </c>
      <c r="C218" s="21" t="s">
        <v>456</v>
      </c>
      <c r="D218" s="21" t="s">
        <v>1041</v>
      </c>
      <c r="E218" s="21" t="b">
        <v>0</v>
      </c>
      <c r="G218" s="21" t="str">
        <f>VLOOKUP(C218,モンスター!$B$6:$H$100,2,FALSE)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m_my_skills VALUES ('myskill0214','monster036','skill001',FALSE);</v>
      </c>
    </row>
    <row r="219" spans="2:15">
      <c r="B219" s="44" t="s">
        <v>726</v>
      </c>
      <c r="C219" s="21" t="s">
        <v>456</v>
      </c>
      <c r="D219" s="21" t="s">
        <v>1042</v>
      </c>
      <c r="E219" s="21" t="b">
        <v>0</v>
      </c>
      <c r="G219" s="21" t="str">
        <f>VLOOKUP(C219,モンスター!$B$6:$H$100,2,FALSE)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m_my_skills VALUES ('myskill0215','monster036','skill002',FALSE);</v>
      </c>
    </row>
    <row r="220" spans="2:15">
      <c r="B220" s="44" t="s">
        <v>727</v>
      </c>
      <c r="C220" s="21" t="s">
        <v>456</v>
      </c>
      <c r="D220" s="21" t="s">
        <v>1042</v>
      </c>
      <c r="E220" s="21" t="b">
        <v>0</v>
      </c>
      <c r="G220" s="21" t="str">
        <f>VLOOKUP(C220,モンスター!$B$6:$H$100,2,FALSE)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m_my_skills VALUES ('myskill0216','monster036','skill002',FALSE);</v>
      </c>
    </row>
    <row r="221" spans="2:15">
      <c r="B221" s="44" t="s">
        <v>728</v>
      </c>
      <c r="C221" s="21" t="s">
        <v>457</v>
      </c>
      <c r="D221" s="21" t="s">
        <v>1051</v>
      </c>
      <c r="E221" s="21" t="b">
        <v>0</v>
      </c>
      <c r="G221" s="21" t="str">
        <f>VLOOKUP(C221,モンスター!$B$6:$H$100,2,FALSE)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m_my_skills VALUES ('myskill0217','monster037','skill040',FALSE);</v>
      </c>
    </row>
    <row r="222" spans="2:15">
      <c r="B222" s="44" t="s">
        <v>729</v>
      </c>
      <c r="C222" s="21" t="s">
        <v>457</v>
      </c>
      <c r="D222" s="21" t="s">
        <v>1063</v>
      </c>
      <c r="E222" s="21" t="b">
        <v>0</v>
      </c>
      <c r="G222" s="21" t="str">
        <f>VLOOKUP(C222,モンスター!$B$6:$H$100,2,FALSE)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m_my_skills VALUES ('myskill0218','monster037','skill029',FALSE);</v>
      </c>
    </row>
    <row r="223" spans="2:15">
      <c r="B223" s="44" t="s">
        <v>730</v>
      </c>
      <c r="C223" s="21" t="s">
        <v>457</v>
      </c>
      <c r="D223" s="21" t="s">
        <v>1041</v>
      </c>
      <c r="E223" s="21" t="b">
        <v>0</v>
      </c>
      <c r="G223" s="21" t="str">
        <f>VLOOKUP(C223,モンスター!$B$6:$H$100,2,FALSE)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m_my_skills VALUES ('myskill0219','monster037','skill001',FALSE);</v>
      </c>
    </row>
    <row r="224" spans="2:15">
      <c r="B224" s="44" t="s">
        <v>731</v>
      </c>
      <c r="C224" s="21" t="s">
        <v>457</v>
      </c>
      <c r="D224" s="21" t="s">
        <v>1041</v>
      </c>
      <c r="E224" s="21" t="b">
        <v>0</v>
      </c>
      <c r="G224" s="21" t="str">
        <f>VLOOKUP(C224,モンスター!$B$6:$H$100,2,FALSE)</f>
        <v>ラビリオン</v>
      </c>
      <c r="H224" s="24">
        <f>VLOOKUP(D224,スキル!$C$4:$O$96,8,FALSE)</f>
        <v>10</v>
      </c>
      <c r="I224" s="25" t="str">
        <f>VLOOKUP(D224,スキル!$C$4:$O$96,2,FALSE)</f>
        <v>打撃</v>
      </c>
      <c r="N224" s="45"/>
      <c r="O224" s="1" t="str">
        <f t="shared" si="5"/>
        <v>INSERT INTO m_my_skills VALUES ('myskill0220','monster037','skill001',FALSE);</v>
      </c>
    </row>
    <row r="225" spans="2:15">
      <c r="B225" s="44" t="s">
        <v>732</v>
      </c>
      <c r="C225" s="21" t="s">
        <v>457</v>
      </c>
      <c r="D225" s="21" t="s">
        <v>1042</v>
      </c>
      <c r="E225" s="21" t="b">
        <v>0</v>
      </c>
      <c r="G225" s="21" t="str">
        <f>VLOOKUP(C225,モンスター!$B$6:$H$100,2,FALSE)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m_my_skills VALUES ('myskill0221','monster037','skill002',FALSE);</v>
      </c>
    </row>
    <row r="226" spans="2:15">
      <c r="B226" s="44" t="s">
        <v>733</v>
      </c>
      <c r="C226" s="21" t="s">
        <v>457</v>
      </c>
      <c r="D226" s="21" t="s">
        <v>1018</v>
      </c>
      <c r="E226" s="21" t="b">
        <v>0</v>
      </c>
      <c r="G226" s="21" t="str">
        <f>VLOOKUP(C226,モンスター!$B$6:$H$100,2,FALSE)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m_my_skills VALUES ('myskill0222','monster037','skill055',FALSE);</v>
      </c>
    </row>
    <row r="227" spans="2:15">
      <c r="B227" s="44" t="s">
        <v>734</v>
      </c>
      <c r="C227" s="21" t="s">
        <v>458</v>
      </c>
      <c r="D227" s="21" t="s">
        <v>1051</v>
      </c>
      <c r="E227" s="21" t="b">
        <v>0</v>
      </c>
      <c r="G227" s="21" t="str">
        <f>VLOOKUP(C227,モンスター!$B$6:$H$100,2,FALSE)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m_my_skills VALUES ('myskill0223','monster038','skill040',FALSE);</v>
      </c>
    </row>
    <row r="228" spans="2:15">
      <c r="B228" s="44" t="s">
        <v>735</v>
      </c>
      <c r="C228" s="21" t="s">
        <v>458</v>
      </c>
      <c r="D228" s="21" t="s">
        <v>1064</v>
      </c>
      <c r="E228" s="21" t="b">
        <v>0</v>
      </c>
      <c r="G228" s="21" t="str">
        <f>VLOOKUP(C228,モンスター!$B$6:$H$100,2,FALSE)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m_my_skills VALUES ('myskill0224','monster038','skill030',FALSE);</v>
      </c>
    </row>
    <row r="229" spans="2:15">
      <c r="B229" s="44" t="s">
        <v>736</v>
      </c>
      <c r="C229" s="21" t="s">
        <v>458</v>
      </c>
      <c r="D229" s="21" t="s">
        <v>1041</v>
      </c>
      <c r="E229" s="21" t="b">
        <v>0</v>
      </c>
      <c r="G229" s="21" t="str">
        <f>VLOOKUP(C229,モンスター!$B$6:$H$100,2,FALSE)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m_my_skills VALUES ('myskill0225','monster038','skill001',FALSE);</v>
      </c>
    </row>
    <row r="230" spans="2:15">
      <c r="B230" s="44" t="s">
        <v>737</v>
      </c>
      <c r="C230" s="21" t="s">
        <v>458</v>
      </c>
      <c r="D230" s="21" t="s">
        <v>1020</v>
      </c>
      <c r="E230" s="21" t="b">
        <v>0</v>
      </c>
      <c r="G230" s="21" t="str">
        <f>VLOOKUP(C230,モンスター!$B$6:$H$100,2,FALSE)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m_my_skills VALUES ('myskill0226','monster038','skill006',FALSE);</v>
      </c>
    </row>
    <row r="231" spans="2:15">
      <c r="B231" s="44" t="s">
        <v>738</v>
      </c>
      <c r="C231" s="21" t="s">
        <v>458</v>
      </c>
      <c r="D231" s="21" t="s">
        <v>1042</v>
      </c>
      <c r="E231" s="21" t="b">
        <v>0</v>
      </c>
      <c r="G231" s="21" t="str">
        <f>VLOOKUP(C231,モンスター!$B$6:$H$100,2,FALSE)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m_my_skills VALUES ('myskill0227','monster038','skill002',FALSE);</v>
      </c>
    </row>
    <row r="232" spans="2:15">
      <c r="B232" s="44" t="s">
        <v>739</v>
      </c>
      <c r="C232" s="21" t="s">
        <v>458</v>
      </c>
      <c r="D232" s="21" t="s">
        <v>1018</v>
      </c>
      <c r="E232" s="21" t="b">
        <v>0</v>
      </c>
      <c r="G232" s="21" t="str">
        <f>VLOOKUP(C232,モンスター!$B$6:$H$100,2,FALSE)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m_my_skills VALUES ('myskill0228','monster038','skill055',FALSE);</v>
      </c>
    </row>
    <row r="233" spans="2:15">
      <c r="B233" s="44" t="s">
        <v>740</v>
      </c>
      <c r="C233" s="21" t="s">
        <v>459</v>
      </c>
      <c r="D233" s="21" t="s">
        <v>1061</v>
      </c>
      <c r="E233" s="21" t="b">
        <v>0</v>
      </c>
      <c r="G233" s="21" t="str">
        <f>VLOOKUP(C233,モンスター!$B$6:$H$100,2,FALSE)</f>
        <v>グレートラビ</v>
      </c>
      <c r="H233" s="24">
        <f>VLOOKUP(D233,スキル!$C$4:$O$96,8,FALSE)</f>
        <v>40</v>
      </c>
      <c r="I233" s="25" t="str">
        <f>VLOOKUP(D233,スキル!$C$4:$O$96,2,FALSE)</f>
        <v>ケアルガ</v>
      </c>
      <c r="N233" s="45"/>
      <c r="O233" s="1" t="str">
        <f t="shared" si="5"/>
        <v>INSERT INTO m_my_skills VALUES ('myskill0229','monster039','skill041',FALSE);</v>
      </c>
    </row>
    <row r="234" spans="2:15">
      <c r="B234" s="44" t="s">
        <v>741</v>
      </c>
      <c r="C234" s="21" t="s">
        <v>459</v>
      </c>
      <c r="D234" s="21" t="s">
        <v>1067</v>
      </c>
      <c r="E234" s="21" t="b">
        <v>0</v>
      </c>
      <c r="G234" s="21" t="str">
        <f>VLOOKUP(C234,モンスター!$B$6:$H$100,2,FALSE)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m_my_skills VALUES ('myskill0230','monster039','skill031',FALSE);</v>
      </c>
    </row>
    <row r="235" spans="2:15">
      <c r="B235" s="44" t="s">
        <v>742</v>
      </c>
      <c r="C235" s="21" t="s">
        <v>459</v>
      </c>
      <c r="D235" s="21" t="s">
        <v>1060</v>
      </c>
      <c r="E235" s="21" t="b">
        <v>0</v>
      </c>
      <c r="G235" s="21" t="str">
        <f>VLOOKUP(C235,モンスター!$B$6:$H$100,2,FALSE)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m_my_skills VALUES ('myskill0231','monster039','skill008',FALSE);</v>
      </c>
    </row>
    <row r="236" spans="2:15">
      <c r="B236" s="44" t="s">
        <v>743</v>
      </c>
      <c r="C236" s="21" t="s">
        <v>459</v>
      </c>
      <c r="D236" s="21" t="s">
        <v>1042</v>
      </c>
      <c r="E236" s="21" t="b">
        <v>0</v>
      </c>
      <c r="G236" s="21" t="str">
        <f>VLOOKUP(C236,モンスター!$B$6:$H$100,2,FALSE)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m_my_skills VALUES ('myskill0232','monster039','skill002',FALSE);</v>
      </c>
    </row>
    <row r="237" spans="2:15">
      <c r="B237" s="44" t="s">
        <v>744</v>
      </c>
      <c r="C237" s="21" t="s">
        <v>459</v>
      </c>
      <c r="D237" s="21" t="s">
        <v>1065</v>
      </c>
      <c r="E237" s="21" t="b">
        <v>0</v>
      </c>
      <c r="G237" s="21" t="str">
        <f>VLOOKUP(C237,モンスター!$B$6:$H$100,2,FALSE)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m_my_skills VALUES ('myskill0233','monster039','skill003',FALSE);</v>
      </c>
    </row>
    <row r="238" spans="2:15">
      <c r="B238" s="44" t="s">
        <v>745</v>
      </c>
      <c r="C238" s="21" t="s">
        <v>459</v>
      </c>
      <c r="D238" s="21" t="s">
        <v>1035</v>
      </c>
      <c r="E238" s="21" t="b">
        <v>0</v>
      </c>
      <c r="G238" s="21" t="str">
        <f>VLOOKUP(C238,モンスター!$B$6:$H$100,2,FALSE)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m_my_skills VALUES ('myskill0234','monster039','skill057',FALSE);</v>
      </c>
    </row>
    <row r="239" spans="2:15">
      <c r="B239" s="44" t="s">
        <v>746</v>
      </c>
      <c r="C239" s="21" t="s">
        <v>460</v>
      </c>
      <c r="D239" s="21" t="s">
        <v>1041</v>
      </c>
      <c r="E239" s="21" t="b">
        <v>0</v>
      </c>
      <c r="G239" s="21" t="str">
        <f>VLOOKUP(C239,モンスター!$B$6:$H$100,2,FALSE)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m_my_skills VALUES ('myskill0235','monster040','skill001',FALSE);</v>
      </c>
    </row>
    <row r="240" spans="2:15">
      <c r="B240" s="44" t="s">
        <v>747</v>
      </c>
      <c r="C240" s="21" t="s">
        <v>460</v>
      </c>
      <c r="D240" s="21" t="s">
        <v>1041</v>
      </c>
      <c r="E240" s="21" t="b">
        <v>0</v>
      </c>
      <c r="G240" s="21" t="str">
        <f>VLOOKUP(C240,モンスター!$B$6:$H$100,2,FALSE)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m_my_skills VALUES ('myskill0236','monster040','skill001',FALSE);</v>
      </c>
    </row>
    <row r="241" spans="2:15">
      <c r="B241" s="44" t="s">
        <v>748</v>
      </c>
      <c r="C241" s="21" t="s">
        <v>460</v>
      </c>
      <c r="D241" s="21" t="s">
        <v>1018</v>
      </c>
      <c r="E241" s="21" t="b">
        <v>0</v>
      </c>
      <c r="G241" s="21" t="str">
        <f>VLOOKUP(C241,モンスター!$B$6:$H$100,2,FALSE)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m_my_skills VALUES ('myskill0237','monster040','skill055',FALSE);</v>
      </c>
    </row>
    <row r="242" spans="2:15">
      <c r="B242" s="44" t="s">
        <v>749</v>
      </c>
      <c r="C242" s="21" t="s">
        <v>460</v>
      </c>
      <c r="D242" s="21" t="s">
        <v>1054</v>
      </c>
      <c r="E242" s="21" t="b">
        <v>0</v>
      </c>
      <c r="G242" s="21" t="str">
        <f>VLOOKUP(C242,モンスター!$B$6:$H$100,2,FALSE)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m_my_skills VALUES ('myskill0238','monster040','skill044',FALSE);</v>
      </c>
    </row>
    <row r="243" spans="2:15">
      <c r="B243" s="44" t="s">
        <v>750</v>
      </c>
      <c r="C243" s="21" t="s">
        <v>460</v>
      </c>
      <c r="D243" s="21" t="s">
        <v>1039</v>
      </c>
      <c r="E243" s="21" t="b">
        <v>0</v>
      </c>
      <c r="G243" s="21" t="str">
        <f>VLOOKUP(C243,モンスター!$B$6:$H$100,2,FALSE)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m_my_skills VALUES ('myskill0239','monster040','skill047',FALSE);</v>
      </c>
    </row>
    <row r="244" spans="2:15">
      <c r="B244" s="44" t="s">
        <v>751</v>
      </c>
      <c r="C244" s="21" t="s">
        <v>460</v>
      </c>
      <c r="D244" s="21" t="s">
        <v>1042</v>
      </c>
      <c r="E244" s="21" t="b">
        <v>0</v>
      </c>
      <c r="G244" s="21" t="str">
        <f>VLOOKUP(C244,モンスター!$B$6:$H$100,2,FALSE)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m_my_skills VALUES ('myskill0240','monster040','skill002',FALSE);</v>
      </c>
    </row>
    <row r="245" spans="2:15">
      <c r="B245" s="44" t="s">
        <v>752</v>
      </c>
      <c r="C245" s="21" t="s">
        <v>461</v>
      </c>
      <c r="D245" s="21" t="s">
        <v>1031</v>
      </c>
      <c r="E245" s="21" t="b">
        <v>0</v>
      </c>
      <c r="G245" s="21" t="str">
        <f>VLOOKUP(C245,モンスター!$B$6:$H$100,2,FALSE)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m_my_skills VALUES ('myskill0241','monster041','skill021',FALSE);</v>
      </c>
    </row>
    <row r="246" spans="2:15">
      <c r="B246" s="44" t="s">
        <v>753</v>
      </c>
      <c r="C246" s="21" t="s">
        <v>461</v>
      </c>
      <c r="D246" s="21" t="s">
        <v>1041</v>
      </c>
      <c r="E246" s="21" t="b">
        <v>0</v>
      </c>
      <c r="G246" s="21" t="str">
        <f>VLOOKUP(C246,モンスター!$B$6:$H$100,2,FALSE)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m_my_skills VALUES ('myskill0242','monster041','skill001',FALSE);</v>
      </c>
    </row>
    <row r="247" spans="2:15">
      <c r="B247" s="44" t="s">
        <v>754</v>
      </c>
      <c r="C247" s="21" t="s">
        <v>461</v>
      </c>
      <c r="D247" s="21" t="s">
        <v>1018</v>
      </c>
      <c r="E247" s="21" t="b">
        <v>0</v>
      </c>
      <c r="G247" s="21" t="str">
        <f>VLOOKUP(C247,モンスター!$B$6:$H$100,2,FALSE)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m_my_skills VALUES ('myskill0243','monster041','skill055',FALSE);</v>
      </c>
    </row>
    <row r="248" spans="2:15">
      <c r="B248" s="44" t="s">
        <v>755</v>
      </c>
      <c r="C248" s="21" t="s">
        <v>461</v>
      </c>
      <c r="D248" s="21" t="s">
        <v>1054</v>
      </c>
      <c r="E248" s="21" t="b">
        <v>0</v>
      </c>
      <c r="G248" s="21" t="str">
        <f>VLOOKUP(C248,モンスター!$B$6:$H$100,2,FALSE)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</v>
      </c>
      <c r="N248" s="45"/>
      <c r="O248" s="1" t="str">
        <f t="shared" si="5"/>
        <v>INSERT INTO m_my_skills VALUES ('myskill0244','monster041','skill044',FALSE);</v>
      </c>
    </row>
    <row r="249" spans="2:15">
      <c r="B249" s="44" t="s">
        <v>756</v>
      </c>
      <c r="C249" s="21" t="s">
        <v>461</v>
      </c>
      <c r="D249" s="21" t="s">
        <v>1042</v>
      </c>
      <c r="E249" s="21" t="b">
        <v>0</v>
      </c>
      <c r="G249" s="21" t="str">
        <f>VLOOKUP(C249,モンスター!$B$6:$H$100,2,FALSE)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m_my_skills VALUES ('myskill0245','monster041','skill002',FALSE);</v>
      </c>
    </row>
    <row r="250" spans="2:15">
      <c r="B250" s="44" t="s">
        <v>757</v>
      </c>
      <c r="C250" s="21" t="s">
        <v>461</v>
      </c>
      <c r="D250" s="21" t="s">
        <v>1042</v>
      </c>
      <c r="E250" s="21" t="b">
        <v>0</v>
      </c>
      <c r="G250" s="21" t="str">
        <f>VLOOKUP(C250,モンスター!$B$6:$H$100,2,FALSE)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m_my_skills VALUES ('myskill0246','monster041','skill002',FALSE);</v>
      </c>
    </row>
    <row r="251" spans="2:15">
      <c r="B251" s="44" t="s">
        <v>758</v>
      </c>
      <c r="C251" s="21" t="s">
        <v>462</v>
      </c>
      <c r="D251" s="21" t="s">
        <v>1055</v>
      </c>
      <c r="E251" s="21" t="b">
        <v>0</v>
      </c>
      <c r="G251" s="21" t="str">
        <f>VLOOKUP(C251,モンスター!$B$6:$H$100,2,FALSE)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m_my_skills VALUES ('myskill0247','monster042','skill019',FALSE);</v>
      </c>
    </row>
    <row r="252" spans="2:15">
      <c r="B252" s="44" t="s">
        <v>759</v>
      </c>
      <c r="C252" s="21" t="s">
        <v>462</v>
      </c>
      <c r="D252" s="21" t="s">
        <v>1065</v>
      </c>
      <c r="E252" s="21" t="b">
        <v>0</v>
      </c>
      <c r="G252" s="21" t="str">
        <f>VLOOKUP(C252,モンスター!$B$6:$H$100,2,FALSE)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m_my_skills VALUES ('myskill0248','monster042','skill003',FALSE);</v>
      </c>
    </row>
    <row r="253" spans="2:15">
      <c r="B253" s="44" t="s">
        <v>760</v>
      </c>
      <c r="C253" s="21" t="s">
        <v>462</v>
      </c>
      <c r="D253" s="21" t="s">
        <v>1030</v>
      </c>
      <c r="E253" s="21" t="b">
        <v>0</v>
      </c>
      <c r="G253" s="21" t="str">
        <f>VLOOKUP(C253,モンスター!$B$6:$H$100,2,FALSE)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m_my_skills VALUES ('myskill0249','monster042','skill007',FALSE);</v>
      </c>
    </row>
    <row r="254" spans="2:15">
      <c r="B254" s="44" t="s">
        <v>761</v>
      </c>
      <c r="C254" s="21" t="s">
        <v>462</v>
      </c>
      <c r="D254" s="21" t="s">
        <v>1041</v>
      </c>
      <c r="E254" s="21" t="b">
        <v>0</v>
      </c>
      <c r="G254" s="21" t="str">
        <f>VLOOKUP(C254,モンスター!$B$6:$H$100,2,FALSE)</f>
        <v>レッドマシュマロ</v>
      </c>
      <c r="H254" s="24">
        <f>VLOOKUP(D254,スキル!$C$4:$O$96,8,FALSE)</f>
        <v>10</v>
      </c>
      <c r="I254" s="25" t="str">
        <f>VLOOKUP(D254,スキル!$C$4:$O$96,2,FALSE)</f>
        <v>打撃</v>
      </c>
      <c r="N254" s="45"/>
      <c r="O254" s="1" t="str">
        <f t="shared" si="5"/>
        <v>INSERT INTO m_my_skills VALUES ('myskill0250','monster042','skill001',FALSE);</v>
      </c>
    </row>
    <row r="255" spans="2:15">
      <c r="B255" s="44" t="s">
        <v>762</v>
      </c>
      <c r="C255" s="21" t="s">
        <v>462</v>
      </c>
      <c r="D255" s="21" t="s">
        <v>1023</v>
      </c>
      <c r="E255" s="21" t="b">
        <v>0</v>
      </c>
      <c r="G255" s="21" t="str">
        <f>VLOOKUP(C255,モンスター!$B$6:$H$100,2,FALSE)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m_my_skills VALUES ('myskill0251','monster042','skill056',FALSE);</v>
      </c>
    </row>
    <row r="256" spans="2:15">
      <c r="B256" s="44" t="s">
        <v>763</v>
      </c>
      <c r="C256" s="21" t="s">
        <v>462</v>
      </c>
      <c r="D256" s="21" t="s">
        <v>1042</v>
      </c>
      <c r="E256" s="21" t="b">
        <v>0</v>
      </c>
      <c r="G256" s="21" t="str">
        <f>VLOOKUP(C256,モンスター!$B$6:$H$100,2,FALSE)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m_my_skills VALUES ('myskill0252','monster042','skill002',FALSE);</v>
      </c>
    </row>
    <row r="257" spans="2:15">
      <c r="B257" s="44" t="s">
        <v>764</v>
      </c>
      <c r="C257" s="21" t="s">
        <v>463</v>
      </c>
      <c r="D257" s="21" t="s">
        <v>1017</v>
      </c>
      <c r="E257" s="21" t="b">
        <v>0</v>
      </c>
      <c r="G257" s="21" t="str">
        <f>VLOOKUP(C257,モンスター!$B$6:$H$100,2,FALSE)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m_my_skills VALUES ('myskill0253','monster043','skill009',FALSE);</v>
      </c>
    </row>
    <row r="258" spans="2:15">
      <c r="B258" s="44" t="s">
        <v>765</v>
      </c>
      <c r="C258" s="21" t="s">
        <v>463</v>
      </c>
      <c r="D258" s="21" t="s">
        <v>1017</v>
      </c>
      <c r="E258" s="21" t="b">
        <v>0</v>
      </c>
      <c r="G258" s="21" t="str">
        <f>VLOOKUP(C258,モンスター!$B$6:$H$100,2,FALSE)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m_my_skills VALUES ('myskill0254','monster043','skill009',FALSE);</v>
      </c>
    </row>
    <row r="259" spans="2:15">
      <c r="B259" s="44" t="s">
        <v>766</v>
      </c>
      <c r="C259" s="21" t="s">
        <v>463</v>
      </c>
      <c r="D259" s="21" t="s">
        <v>1026</v>
      </c>
      <c r="E259" s="21" t="b">
        <v>0</v>
      </c>
      <c r="G259" s="21" t="str">
        <f>VLOOKUP(C259,モンスター!$B$6:$H$100,2,FALSE)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m_my_skills VALUES ('myskill0255','monster043','skill013',FALSE);</v>
      </c>
    </row>
    <row r="260" spans="2:15">
      <c r="B260" s="44" t="s">
        <v>767</v>
      </c>
      <c r="C260" s="21" t="s">
        <v>463</v>
      </c>
      <c r="D260" s="21" t="s">
        <v>1026</v>
      </c>
      <c r="E260" s="21" t="b">
        <v>0</v>
      </c>
      <c r="G260" s="21" t="str">
        <f>VLOOKUP(C260,モンスター!$B$6:$H$100,2,FALSE)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m_my_skills VALUES ('myskill0256','monster043','skill013',FALSE);</v>
      </c>
    </row>
    <row r="261" spans="2:15">
      <c r="B261" s="44" t="s">
        <v>768</v>
      </c>
      <c r="C261" s="21" t="s">
        <v>463</v>
      </c>
      <c r="D261" s="21" t="s">
        <v>1033</v>
      </c>
      <c r="E261" s="21" t="b">
        <v>0</v>
      </c>
      <c r="G261" s="21" t="str">
        <f>VLOOKUP(C261,モンスター!$B$6:$H$100,2,FALSE)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m_my_skills VALUES ('myskill0257','monster043','skill032',FALSE);</v>
      </c>
    </row>
    <row r="262" spans="2:15">
      <c r="B262" s="44" t="s">
        <v>769</v>
      </c>
      <c r="C262" s="21" t="s">
        <v>463</v>
      </c>
      <c r="D262" s="21" t="s">
        <v>1018</v>
      </c>
      <c r="E262" s="21" t="b">
        <v>0</v>
      </c>
      <c r="G262" s="21" t="str">
        <f>VLOOKUP(C262,モンスター!$B$6:$H$100,2,FALSE)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m_my_skills VALUES ("&amp;"'"&amp;B262&amp;"'"&amp;","&amp;"'"&amp;C262&amp;"'"&amp;","&amp;"'"&amp;D262&amp;"'"&amp;","&amp;E262&amp;");"</f>
        <v>INSERT INTO m_my_skills VALUES ('myskill0258','monster043','skill055',FALSE);</v>
      </c>
    </row>
    <row r="263" spans="2:15">
      <c r="B263" s="44" t="s">
        <v>770</v>
      </c>
      <c r="C263" s="21" t="s">
        <v>464</v>
      </c>
      <c r="D263" s="21" t="s">
        <v>1017</v>
      </c>
      <c r="E263" s="21" t="b">
        <v>0</v>
      </c>
      <c r="G263" s="21" t="str">
        <f>VLOOKUP(C263,モンスター!$B$6:$H$100,2,FALSE)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m_my_skills VALUES ('myskill0259','monster044','skill009',FALSE);</v>
      </c>
    </row>
    <row r="264" spans="2:15">
      <c r="B264" s="44" t="s">
        <v>771</v>
      </c>
      <c r="C264" s="21" t="s">
        <v>464</v>
      </c>
      <c r="D264" s="21" t="s">
        <v>1025</v>
      </c>
      <c r="E264" s="21" t="b">
        <v>0</v>
      </c>
      <c r="G264" s="21" t="str">
        <f>VLOOKUP(C264,モンスター!$B$6:$H$100,2,FALSE)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m_my_skills VALUES ('myskill0260','monster044','skill010',FALSE);</v>
      </c>
    </row>
    <row r="265" spans="2:15">
      <c r="B265" s="44" t="s">
        <v>772</v>
      </c>
      <c r="C265" s="21" t="s">
        <v>464</v>
      </c>
      <c r="D265" s="21" t="s">
        <v>1026</v>
      </c>
      <c r="E265" s="21" t="b">
        <v>0</v>
      </c>
      <c r="G265" s="21" t="str">
        <f>VLOOKUP(C265,モンスター!$B$6:$H$100,2,FALSE)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m_my_skills VALUES ('myskill0261','monster044','skill013',FALSE);</v>
      </c>
    </row>
    <row r="266" spans="2:15">
      <c r="B266" s="44" t="s">
        <v>773</v>
      </c>
      <c r="C266" s="21" t="s">
        <v>464</v>
      </c>
      <c r="D266" s="21" t="s">
        <v>1048</v>
      </c>
      <c r="E266" s="21" t="b">
        <v>0</v>
      </c>
      <c r="G266" s="21" t="str">
        <f>VLOOKUP(C266,モンスター!$B$6:$H$100,2,FALSE)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m_my_skills VALUES ('myskill0262','monster044','skill014',FALSE);</v>
      </c>
    </row>
    <row r="267" spans="2:15">
      <c r="B267" s="44" t="s">
        <v>774</v>
      </c>
      <c r="C267" s="21" t="s">
        <v>464</v>
      </c>
      <c r="D267" s="21" t="s">
        <v>1034</v>
      </c>
      <c r="E267" s="21" t="b">
        <v>0</v>
      </c>
      <c r="G267" s="21" t="str">
        <f>VLOOKUP(C267,モンスター!$B$6:$H$100,2,FALSE)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m_my_skills VALUES ('myskill0263','monster044','skill033',FALSE);</v>
      </c>
    </row>
    <row r="268" spans="2:15">
      <c r="B268" s="44" t="s">
        <v>775</v>
      </c>
      <c r="C268" s="21" t="s">
        <v>464</v>
      </c>
      <c r="D268" s="21" t="s">
        <v>1018</v>
      </c>
      <c r="E268" s="21" t="b">
        <v>0</v>
      </c>
      <c r="G268" s="21" t="str">
        <f>VLOOKUP(C268,モンスター!$B$6:$H$100,2,FALSE)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m_my_skills VALUES ('myskill0264','monster044','skill055',FALSE);</v>
      </c>
    </row>
    <row r="269" spans="2:15">
      <c r="B269" s="44" t="s">
        <v>776</v>
      </c>
      <c r="C269" s="21" t="s">
        <v>465</v>
      </c>
      <c r="D269" s="21" t="s">
        <v>1050</v>
      </c>
      <c r="E269" s="21" t="b">
        <v>0</v>
      </c>
      <c r="G269" s="21" t="str">
        <f>VLOOKUP(C269,モンスター!$B$6:$H$100,2,FALSE)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m_my_skills VALUES ('myskill0265','monster045','skill015',FALSE);</v>
      </c>
    </row>
    <row r="270" spans="2:15">
      <c r="B270" s="44" t="s">
        <v>777</v>
      </c>
      <c r="C270" s="21" t="s">
        <v>465</v>
      </c>
      <c r="D270" s="21" t="s">
        <v>1048</v>
      </c>
      <c r="E270" s="21" t="b">
        <v>0</v>
      </c>
      <c r="G270" s="21" t="str">
        <f>VLOOKUP(C270,モンスター!$B$6:$H$100,2,FALSE)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m_my_skills VALUES ('myskill0266','monster045','skill014',FALSE);</v>
      </c>
    </row>
    <row r="271" spans="2:15">
      <c r="B271" s="44" t="s">
        <v>778</v>
      </c>
      <c r="C271" s="21" t="s">
        <v>465</v>
      </c>
      <c r="D271" s="21" t="s">
        <v>1032</v>
      </c>
      <c r="E271" s="21" t="b">
        <v>0</v>
      </c>
      <c r="G271" s="21" t="str">
        <f>VLOOKUP(C271,モンスター!$B$6:$H$100,2,FALSE)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m_my_skills VALUES ('myskill0267','monster045','skill011',FALSE);</v>
      </c>
    </row>
    <row r="272" spans="2:15">
      <c r="B272" s="44" t="s">
        <v>779</v>
      </c>
      <c r="C272" s="21" t="s">
        <v>465</v>
      </c>
      <c r="D272" s="21" t="s">
        <v>1049</v>
      </c>
      <c r="E272" s="21" t="b">
        <v>0</v>
      </c>
      <c r="G272" s="21" t="str">
        <f>VLOOKUP(C272,モンスター!$B$6:$H$100,2,FALSE)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m_my_skills VALUES ('myskill0268','monster045','skill012',FALSE);</v>
      </c>
    </row>
    <row r="273" spans="2:15">
      <c r="B273" s="44" t="s">
        <v>780</v>
      </c>
      <c r="C273" s="21" t="s">
        <v>465</v>
      </c>
      <c r="D273" s="21" t="s">
        <v>1035</v>
      </c>
      <c r="E273" s="21" t="b">
        <v>0</v>
      </c>
      <c r="G273" s="21" t="str">
        <f>VLOOKUP(C273,モンスター!$B$6:$H$100,2,FALSE)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m_my_skills VALUES ('myskill0269','monster045','skill057',FALSE);</v>
      </c>
    </row>
    <row r="274" spans="2:15">
      <c r="B274" s="44" t="s">
        <v>781</v>
      </c>
      <c r="C274" s="21" t="s">
        <v>465</v>
      </c>
      <c r="D274" s="21" t="s">
        <v>1052</v>
      </c>
      <c r="E274" s="21" t="b">
        <v>0</v>
      </c>
      <c r="G274" s="21" t="str">
        <f>VLOOKUP(C274,モンスター!$B$6:$H$100,2,FALSE)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m_my_skills VALUES ('myskill0270','monster045','skill016',FALSE);</v>
      </c>
    </row>
    <row r="275" spans="2:15">
      <c r="B275" s="44" t="s">
        <v>782</v>
      </c>
      <c r="C275" s="21" t="s">
        <v>466</v>
      </c>
      <c r="D275" s="21" t="s">
        <v>1017</v>
      </c>
      <c r="E275" s="21" t="b">
        <v>0</v>
      </c>
      <c r="G275" s="21" t="str">
        <f>VLOOKUP(C275,モンスター!$B$6:$H$100,2,FALSE)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m_my_skills VALUES ('myskill0271','monster046','skill009',FALSE);</v>
      </c>
    </row>
    <row r="276" spans="2:15">
      <c r="B276" s="44" t="s">
        <v>783</v>
      </c>
      <c r="C276" s="21" t="s">
        <v>466</v>
      </c>
      <c r="D276" s="21" t="s">
        <v>1017</v>
      </c>
      <c r="E276" s="21" t="b">
        <v>0</v>
      </c>
      <c r="G276" s="21" t="str">
        <f>VLOOKUP(C276,モンスター!$B$6:$H$100,2,FALSE)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m_my_skills VALUES ('myskill0272','monster046','skill009',FALSE);</v>
      </c>
    </row>
    <row r="277" spans="2:15">
      <c r="B277" s="44" t="s">
        <v>784</v>
      </c>
      <c r="C277" s="21" t="s">
        <v>466</v>
      </c>
      <c r="D277" s="21" t="s">
        <v>1017</v>
      </c>
      <c r="E277" s="21" t="b">
        <v>0</v>
      </c>
      <c r="G277" s="21" t="str">
        <f>VLOOKUP(C277,モンスター!$B$6:$H$100,2,FALSE)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m_my_skills VALUES ('myskill0273','monster046','skill009',FALSE);</v>
      </c>
    </row>
    <row r="278" spans="2:15">
      <c r="B278" s="44" t="s">
        <v>785</v>
      </c>
      <c r="C278" s="21" t="s">
        <v>466</v>
      </c>
      <c r="D278" s="21" t="s">
        <v>1069</v>
      </c>
      <c r="E278" s="21" t="b">
        <v>0</v>
      </c>
      <c r="G278" s="21" t="str">
        <f>VLOOKUP(C278,モンスター!$B$6:$H$100,2,FALSE)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m_my_skills VALUES ('myskill0274','monster046','skill058',FALSE);</v>
      </c>
    </row>
    <row r="279" spans="2:15">
      <c r="B279" s="44" t="s">
        <v>786</v>
      </c>
      <c r="C279" s="21" t="s">
        <v>466</v>
      </c>
      <c r="D279" s="21" t="s">
        <v>1069</v>
      </c>
      <c r="E279" s="21" t="b">
        <v>0</v>
      </c>
      <c r="G279" s="21" t="str">
        <f>VLOOKUP(C279,モンスター!$B$6:$H$100,2,FALSE)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m_my_skills VALUES ('myskill0275','monster046','skill058',FALSE);</v>
      </c>
    </row>
    <row r="280" spans="2:15">
      <c r="B280" s="44" t="s">
        <v>787</v>
      </c>
      <c r="C280" s="21" t="s">
        <v>466</v>
      </c>
      <c r="D280" s="21" t="s">
        <v>1069</v>
      </c>
      <c r="E280" s="21" t="b">
        <v>0</v>
      </c>
      <c r="G280" s="21" t="str">
        <f>VLOOKUP(C280,モンスター!$B$6:$H$100,2,FALSE)</f>
        <v>ケルベロス</v>
      </c>
      <c r="H280" s="24">
        <f>VLOOKUP(D280,スキル!$C$4:$O$96,8,FALSE)</f>
        <v>15</v>
      </c>
      <c r="I280" s="25" t="str">
        <f>VLOOKUP(D280,スキル!$C$4:$O$96,2,FALSE)</f>
        <v>噛みつき</v>
      </c>
      <c r="N280" s="45"/>
      <c r="O280" s="1" t="str">
        <f t="shared" si="6"/>
        <v>INSERT INTO m_my_skills VALUES ('myskill0276','monster046','skill058',FALSE);</v>
      </c>
    </row>
    <row r="281" spans="2:15">
      <c r="B281" s="44" t="s">
        <v>788</v>
      </c>
      <c r="C281" s="21" t="s">
        <v>467</v>
      </c>
      <c r="D281" s="21" t="s">
        <v>1070</v>
      </c>
      <c r="E281" s="21" t="b">
        <v>0</v>
      </c>
      <c r="G281" s="21" t="str">
        <f>VLOOKUP(C281,モンスター!$B$6:$H$100,2,FALSE)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m_my_skills VALUES ('myskill0277','monster047','skill059',FALSE);</v>
      </c>
    </row>
    <row r="282" spans="2:15">
      <c r="B282" s="44" t="s">
        <v>789</v>
      </c>
      <c r="C282" s="21" t="s">
        <v>467</v>
      </c>
      <c r="D282" s="21" t="s">
        <v>1070</v>
      </c>
      <c r="E282" s="21" t="b">
        <v>0</v>
      </c>
      <c r="G282" s="21" t="str">
        <f>VLOOKUP(C282,モンスター!$B$6:$H$100,2,FALSE)</f>
        <v>バウンドウルフ</v>
      </c>
      <c r="H282" s="24">
        <f>VLOOKUP(D282,スキル!$C$4:$O$96,8,FALSE)</f>
        <v>30</v>
      </c>
      <c r="I282" s="25" t="str">
        <f>VLOOKUP(D282,スキル!$C$4:$O$96,2,FALSE)</f>
        <v>喰いちぎり</v>
      </c>
      <c r="N282" s="45"/>
      <c r="O282" s="1" t="str">
        <f t="shared" si="6"/>
        <v>INSERT INTO m_my_skills VALUES ('myskill0278','monster047','skill059',FALSE);</v>
      </c>
    </row>
    <row r="283" spans="2:15">
      <c r="B283" s="44" t="s">
        <v>790</v>
      </c>
      <c r="C283" s="21" t="s">
        <v>467</v>
      </c>
      <c r="D283" s="21" t="s">
        <v>1071</v>
      </c>
      <c r="E283" s="21" t="b">
        <v>0</v>
      </c>
      <c r="G283" s="21" t="str">
        <f>VLOOKUP(C283,モンスター!$B$6:$H$100,2,FALSE)</f>
        <v>バウンドウルフ</v>
      </c>
      <c r="H283" s="24">
        <f>VLOOKUP(D283,スキル!$C$4:$O$96,8,FALSE)</f>
        <v>15</v>
      </c>
      <c r="I283" s="25" t="str">
        <f>VLOOKUP(D283,スキル!$C$4:$O$96,2,FALSE)</f>
        <v>叩きつけ</v>
      </c>
      <c r="N283" s="45"/>
      <c r="O283" s="1" t="str">
        <f t="shared" si="6"/>
        <v>INSERT INTO m_my_skills VALUES ('myskill0279','monster047','skill066',FALSE);</v>
      </c>
    </row>
    <row r="284" spans="2:15">
      <c r="B284" s="44" t="s">
        <v>791</v>
      </c>
      <c r="C284" s="21" t="s">
        <v>467</v>
      </c>
      <c r="D284" s="21" t="s">
        <v>1017</v>
      </c>
      <c r="E284" s="21" t="b">
        <v>0</v>
      </c>
      <c r="G284" s="21" t="str">
        <f>VLOOKUP(C284,モンスター!$B$6:$H$100,2,FALSE)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m_my_skills VALUES ('myskill0280','monster047','skill009',FALSE);</v>
      </c>
    </row>
    <row r="285" spans="2:15">
      <c r="B285" s="44" t="s">
        <v>792</v>
      </c>
      <c r="C285" s="21" t="s">
        <v>467</v>
      </c>
      <c r="D285" s="21" t="s">
        <v>1018</v>
      </c>
      <c r="E285" s="21" t="b">
        <v>0</v>
      </c>
      <c r="G285" s="21" t="str">
        <f>VLOOKUP(C285,モンスター!$B$6:$H$100,2,FALSE)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m_my_skills VALUES ('myskill0281','monster047','skill055',FALSE);</v>
      </c>
    </row>
    <row r="286" spans="2:15">
      <c r="B286" s="44" t="s">
        <v>793</v>
      </c>
      <c r="C286" s="21" t="s">
        <v>467</v>
      </c>
      <c r="D286" s="21" t="s">
        <v>1072</v>
      </c>
      <c r="E286" s="21" t="b">
        <v>0</v>
      </c>
      <c r="G286" s="21" t="str">
        <f>VLOOKUP(C286,モンスター!$B$6:$H$100,2,FALSE)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m_my_skills VALUES ('myskill0282','monster047','skill060',FALSE);</v>
      </c>
    </row>
    <row r="287" spans="2:15">
      <c r="B287" s="44" t="s">
        <v>794</v>
      </c>
      <c r="C287" s="21" t="s">
        <v>468</v>
      </c>
      <c r="D287" s="21" t="s">
        <v>1070</v>
      </c>
      <c r="E287" s="21" t="b">
        <v>0</v>
      </c>
      <c r="G287" s="21" t="str">
        <f>VLOOKUP(C287,モンスター!$B$6:$H$100,2,FALSE)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m_my_skills VALUES ('myskill0283','monster048','skill059',FALSE);</v>
      </c>
    </row>
    <row r="288" spans="2:15">
      <c r="B288" s="44" t="s">
        <v>795</v>
      </c>
      <c r="C288" s="21" t="s">
        <v>468</v>
      </c>
      <c r="D288" s="21" t="s">
        <v>1069</v>
      </c>
      <c r="E288" s="21" t="b">
        <v>0</v>
      </c>
      <c r="G288" s="21" t="str">
        <f>VLOOKUP(C288,モンスター!$B$6:$H$100,2,FALSE)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m_my_skills VALUES ('myskill0284','monster048','skill058',FALSE);</v>
      </c>
    </row>
    <row r="289" spans="2:15">
      <c r="B289" s="44" t="s">
        <v>796</v>
      </c>
      <c r="C289" s="21" t="s">
        <v>468</v>
      </c>
      <c r="D289" s="21" t="s">
        <v>1073</v>
      </c>
      <c r="E289" s="21" t="b">
        <v>0</v>
      </c>
      <c r="G289" s="21" t="str">
        <f>VLOOKUP(C289,モンスター!$B$6:$H$100,2,FALSE)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m_my_skills VALUES ('myskill0285','monster048','skill069',FALSE);</v>
      </c>
    </row>
    <row r="290" spans="2:15">
      <c r="B290" s="44" t="s">
        <v>797</v>
      </c>
      <c r="C290" s="21" t="s">
        <v>468</v>
      </c>
      <c r="D290" s="21" t="s">
        <v>1073</v>
      </c>
      <c r="E290" s="21" t="b">
        <v>0</v>
      </c>
      <c r="G290" s="21" t="str">
        <f>VLOOKUP(C290,モンスター!$B$6:$H$100,2,FALSE)</f>
        <v>ジャッカル</v>
      </c>
      <c r="H290" s="24">
        <f>VLOOKUP(D290,スキル!$C$4:$O$96,8,FALSE)</f>
        <v>30</v>
      </c>
      <c r="I290" s="25" t="str">
        <f>VLOOKUP(D290,スキル!$C$4:$O$96,2,FALSE)</f>
        <v>首狩り</v>
      </c>
      <c r="N290" s="45"/>
      <c r="O290" s="1" t="str">
        <f t="shared" si="6"/>
        <v>INSERT INTO m_my_skills VALUES ('myskill0286','monster048','skill069',FALSE);</v>
      </c>
    </row>
    <row r="291" spans="2:15">
      <c r="B291" s="44" t="s">
        <v>798</v>
      </c>
      <c r="C291" s="21" t="s">
        <v>468</v>
      </c>
      <c r="D291" s="21" t="s">
        <v>1023</v>
      </c>
      <c r="E291" s="21" t="b">
        <v>0</v>
      </c>
      <c r="G291" s="21" t="str">
        <f>VLOOKUP(C291,モンスター!$B$6:$H$100,2,FALSE)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m_my_skills VALUES ('myskill0287','monster048','skill056',FALSE);</v>
      </c>
    </row>
    <row r="292" spans="2:15">
      <c r="B292" s="44" t="s">
        <v>799</v>
      </c>
      <c r="C292" s="21" t="s">
        <v>468</v>
      </c>
      <c r="D292" s="21" t="s">
        <v>1020</v>
      </c>
      <c r="E292" s="21" t="b">
        <v>0</v>
      </c>
      <c r="G292" s="21" t="str">
        <f>VLOOKUP(C292,モンスター!$B$6:$H$100,2,FALSE)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m_my_skills VALUES ('myskill0288','monster048','skill006',FALSE);</v>
      </c>
    </row>
    <row r="293" spans="2:15">
      <c r="B293" s="44" t="s">
        <v>800</v>
      </c>
      <c r="C293" s="21" t="s">
        <v>469</v>
      </c>
      <c r="D293" s="21" t="s">
        <v>1017</v>
      </c>
      <c r="E293" s="21" t="b">
        <v>0</v>
      </c>
      <c r="G293" s="21" t="str">
        <f>VLOOKUP(C293,モンスター!$B$6:$H$100,2,FALSE)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m_my_skills VALUES ('myskill0289','monster049','skill009',FALSE);</v>
      </c>
    </row>
    <row r="294" spans="2:15">
      <c r="B294" s="44" t="s">
        <v>801</v>
      </c>
      <c r="C294" s="21" t="s">
        <v>469</v>
      </c>
      <c r="D294" s="21" t="s">
        <v>1017</v>
      </c>
      <c r="E294" s="21" t="b">
        <v>0</v>
      </c>
      <c r="G294" s="21" t="str">
        <f>VLOOKUP(C294,モンスター!$B$6:$H$100,2,FALSE)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m_my_skills VALUES ('myskill0290','monster049','skill009',FALSE);</v>
      </c>
    </row>
    <row r="295" spans="2:15">
      <c r="B295" s="44" t="s">
        <v>802</v>
      </c>
      <c r="C295" s="21" t="s">
        <v>469</v>
      </c>
      <c r="D295" s="21" t="s">
        <v>1074</v>
      </c>
      <c r="E295" s="21" t="b">
        <v>0</v>
      </c>
      <c r="G295" s="21" t="str">
        <f>VLOOKUP(C295,モンスター!$B$6:$H$100,2,FALSE)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m_my_skills VALUES ('myskill0291','monster049','skill062',FALSE);</v>
      </c>
    </row>
    <row r="296" spans="2:15">
      <c r="B296" s="44" t="s">
        <v>803</v>
      </c>
      <c r="C296" s="21" t="s">
        <v>469</v>
      </c>
      <c r="D296" s="21" t="s">
        <v>1043</v>
      </c>
      <c r="E296" s="21" t="b">
        <v>0</v>
      </c>
      <c r="G296" s="21" t="str">
        <f>VLOOKUP(C296,モンスター!$B$6:$H$100,2,FALSE)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m_my_skills VALUES ('myskill0292','monster049','skill017',FALSE);</v>
      </c>
    </row>
    <row r="297" spans="2:15">
      <c r="B297" s="44" t="s">
        <v>804</v>
      </c>
      <c r="C297" s="21" t="s">
        <v>469</v>
      </c>
      <c r="D297" s="21" t="s">
        <v>1018</v>
      </c>
      <c r="E297" s="21" t="b">
        <v>0</v>
      </c>
      <c r="G297" s="21" t="str">
        <f>VLOOKUP(C297,モンスター!$B$6:$H$100,2,FALSE)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m_my_skills VALUES ('myskill0293','monster049','skill055',FALSE);</v>
      </c>
    </row>
    <row r="298" spans="2:15">
      <c r="B298" s="44" t="s">
        <v>805</v>
      </c>
      <c r="C298" s="21" t="s">
        <v>469</v>
      </c>
      <c r="D298" s="21" t="s">
        <v>1074</v>
      </c>
      <c r="E298" s="21" t="b">
        <v>0</v>
      </c>
      <c r="G298" s="21" t="str">
        <f>VLOOKUP(C298,モンスター!$B$6:$H$100,2,FALSE)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m_my_skills VALUES ('myskill0294','monster049','skill062',FALSE);</v>
      </c>
    </row>
    <row r="299" spans="2:15">
      <c r="B299" s="44" t="s">
        <v>806</v>
      </c>
      <c r="C299" s="21" t="s">
        <v>470</v>
      </c>
      <c r="D299" s="21" t="s">
        <v>1075</v>
      </c>
      <c r="E299" s="21" t="b">
        <v>0</v>
      </c>
      <c r="G299" s="21" t="str">
        <f>VLOOKUP(C299,モンスター!$B$6:$H$100,2,FALSE)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m_my_skills VALUES ('myskill0295','monster050','skill063',FALSE);</v>
      </c>
    </row>
    <row r="300" spans="2:15">
      <c r="B300" s="44" t="s">
        <v>807</v>
      </c>
      <c r="C300" s="21" t="s">
        <v>470</v>
      </c>
      <c r="D300" s="21" t="s">
        <v>1075</v>
      </c>
      <c r="E300" s="21" t="b">
        <v>0</v>
      </c>
      <c r="G300" s="21" t="str">
        <f>VLOOKUP(C300,モンスター!$B$6:$H$100,2,FALSE)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m_my_skills VALUES ('myskill0296','monster050','skill063',FALSE);</v>
      </c>
    </row>
    <row r="301" spans="2:15">
      <c r="B301" s="44" t="s">
        <v>808</v>
      </c>
      <c r="C301" s="21" t="s">
        <v>470</v>
      </c>
      <c r="D301" s="21" t="s">
        <v>1045</v>
      </c>
      <c r="E301" s="21" t="b">
        <v>0</v>
      </c>
      <c r="G301" s="21" t="str">
        <f>VLOOKUP(C301,モンスター!$B$6:$H$100,2,FALSE)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m_my_skills VALUES ('myskill0297','monster050','skill018',FALSE);</v>
      </c>
    </row>
    <row r="302" spans="2:15">
      <c r="B302" s="44" t="s">
        <v>809</v>
      </c>
      <c r="C302" s="21" t="s">
        <v>470</v>
      </c>
      <c r="D302" s="21" t="s">
        <v>1023</v>
      </c>
      <c r="E302" s="21" t="b">
        <v>0</v>
      </c>
      <c r="G302" s="21" t="str">
        <f>VLOOKUP(C302,モンスター!$B$6:$H$100,2,FALSE)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m_my_skills VALUES ('myskill0298','monster050','skill056',FALSE);</v>
      </c>
    </row>
    <row r="303" spans="2:15">
      <c r="B303" s="44" t="s">
        <v>810</v>
      </c>
      <c r="C303" s="21" t="s">
        <v>470</v>
      </c>
      <c r="D303" s="21" t="s">
        <v>1043</v>
      </c>
      <c r="E303" s="21" t="b">
        <v>0</v>
      </c>
      <c r="G303" s="21" t="str">
        <f>VLOOKUP(C303,モンスター!$B$6:$H$100,2,FALSE)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m_my_skills VALUES ('myskill0299','monster050','skill017',FALSE);</v>
      </c>
    </row>
    <row r="304" spans="2:15">
      <c r="B304" s="44" t="s">
        <v>811</v>
      </c>
      <c r="C304" s="21" t="s">
        <v>470</v>
      </c>
      <c r="D304" s="21" t="s">
        <v>1071</v>
      </c>
      <c r="E304" s="21" t="b">
        <v>0</v>
      </c>
      <c r="G304" s="21" t="str">
        <f>VLOOKUP(C304,モンスター!$B$6:$H$100,2,FALSE)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m_my_skills VALUES ('myskill0300','monster050','skill066',FALSE);</v>
      </c>
    </row>
    <row r="305" spans="2:15">
      <c r="B305" s="44" t="s">
        <v>812</v>
      </c>
      <c r="C305" s="21" t="s">
        <v>471</v>
      </c>
      <c r="D305" s="21" t="s">
        <v>1017</v>
      </c>
      <c r="E305" s="21" t="b">
        <v>0</v>
      </c>
      <c r="G305" s="21" t="str">
        <f>VLOOKUP(C305,モンスター!$B$6:$H$100,2,FALSE)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m_my_skills VALUES ('myskill0301','monster051','skill009',FALSE);</v>
      </c>
    </row>
    <row r="306" spans="2:15">
      <c r="B306" s="44" t="s">
        <v>813</v>
      </c>
      <c r="C306" s="21" t="s">
        <v>471</v>
      </c>
      <c r="D306" s="21" t="s">
        <v>1072</v>
      </c>
      <c r="E306" s="21" t="b">
        <v>0</v>
      </c>
      <c r="G306" s="21" t="str">
        <f>VLOOKUP(C306,モンスター!$B$6:$H$100,2,FALSE)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m_my_skills VALUES ('myskill0302','monster051','skill060',FALSE);</v>
      </c>
    </row>
    <row r="307" spans="2:15">
      <c r="B307" s="44" t="s">
        <v>814</v>
      </c>
      <c r="C307" s="21" t="s">
        <v>471</v>
      </c>
      <c r="D307" s="21" t="s">
        <v>1019</v>
      </c>
      <c r="E307" s="21" t="b">
        <v>0</v>
      </c>
      <c r="G307" s="21" t="str">
        <f>VLOOKUP(C307,モンスター!$B$6:$H$100,2,FALSE)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m_my_skills VALUES ('myskill0303','monster051','skill026',FALSE);</v>
      </c>
    </row>
    <row r="308" spans="2:15">
      <c r="B308" s="44" t="s">
        <v>815</v>
      </c>
      <c r="C308" s="21" t="s">
        <v>471</v>
      </c>
      <c r="D308" s="21" t="s">
        <v>1072</v>
      </c>
      <c r="E308" s="21" t="b">
        <v>0</v>
      </c>
      <c r="G308" s="21" t="str">
        <f>VLOOKUP(C308,モンスター!$B$6:$H$100,2,FALSE)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m_my_skills VALUES ('myskill0304','monster051','skill060',FALSE);</v>
      </c>
    </row>
    <row r="309" spans="2:15">
      <c r="B309" s="44" t="s">
        <v>816</v>
      </c>
      <c r="C309" s="21" t="s">
        <v>471</v>
      </c>
      <c r="D309" s="21" t="s">
        <v>1017</v>
      </c>
      <c r="E309" s="21" t="b">
        <v>0</v>
      </c>
      <c r="G309" s="21" t="str">
        <f>VLOOKUP(C309,モンスター!$B$6:$H$100,2,FALSE)</f>
        <v>モールベア</v>
      </c>
      <c r="H309" s="24">
        <f>VLOOKUP(D309,スキル!$C$4:$O$96,8,FALSE)</f>
        <v>10</v>
      </c>
      <c r="I309" s="25" t="str">
        <f>VLOOKUP(D309,スキル!$C$4:$O$96,2,FALSE)</f>
        <v>斬撃</v>
      </c>
      <c r="N309" s="45"/>
      <c r="O309" s="1" t="str">
        <f t="shared" si="6"/>
        <v>INSERT INTO m_my_skills VALUES ('myskill0305','monster051','skill009',FALSE);</v>
      </c>
    </row>
    <row r="310" spans="2:15">
      <c r="B310" s="44" t="s">
        <v>817</v>
      </c>
      <c r="C310" s="21" t="s">
        <v>471</v>
      </c>
      <c r="D310" s="21" t="s">
        <v>1017</v>
      </c>
      <c r="E310" s="21" t="b">
        <v>0</v>
      </c>
      <c r="G310" s="21" t="str">
        <f>VLOOKUP(C310,モンスター!$B$6:$H$100,2,FALSE)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m_my_skills VALUES ('myskill0306','monster051','skill009',FALSE);</v>
      </c>
    </row>
    <row r="311" spans="2:15">
      <c r="B311" s="44" t="s">
        <v>818</v>
      </c>
      <c r="C311" s="21" t="s">
        <v>472</v>
      </c>
      <c r="D311" s="21" t="s">
        <v>1072</v>
      </c>
      <c r="E311" s="21" t="b">
        <v>0</v>
      </c>
      <c r="G311" s="21" t="str">
        <f>VLOOKUP(C311,モンスター!$B$6:$H$100,2,FALSE)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m_my_skills VALUES ('myskill0307','monster052','skill060',FALSE);</v>
      </c>
    </row>
    <row r="312" spans="2:15">
      <c r="B312" s="44" t="s">
        <v>819</v>
      </c>
      <c r="C312" s="21" t="s">
        <v>472</v>
      </c>
      <c r="D312" s="21" t="s">
        <v>1072</v>
      </c>
      <c r="E312" s="21" t="b">
        <v>0</v>
      </c>
      <c r="G312" s="21" t="str">
        <f>VLOOKUP(C312,モンスター!$B$6:$H$100,2,FALSE)</f>
        <v>ニードリオン</v>
      </c>
      <c r="H312" s="24">
        <f>VLOOKUP(D312,スキル!$C$4:$O$96,8,FALSE)</f>
        <v>15</v>
      </c>
      <c r="I312" s="25" t="str">
        <f>VLOOKUP(D312,スキル!$C$4:$O$96,2,FALSE)</f>
        <v>タックル</v>
      </c>
      <c r="N312" s="45"/>
      <c r="O312" s="1" t="str">
        <f t="shared" si="6"/>
        <v>INSERT INTO m_my_skills VALUES ('myskill0308','monster052','skill060',FALSE);</v>
      </c>
    </row>
    <row r="313" spans="2:15">
      <c r="B313" s="44" t="s">
        <v>820</v>
      </c>
      <c r="C313" s="21" t="s">
        <v>472</v>
      </c>
      <c r="D313" s="21" t="s">
        <v>1076</v>
      </c>
      <c r="E313" s="21" t="b">
        <v>0</v>
      </c>
      <c r="G313" s="21" t="str">
        <f>VLOOKUP(C313,モンスター!$B$6:$H$100,2,FALSE)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m_my_skills VALUES ('myskill0309','monster052','skill061',FALSE);</v>
      </c>
    </row>
    <row r="314" spans="2:15">
      <c r="B314" s="44" t="s">
        <v>821</v>
      </c>
      <c r="C314" s="21" t="s">
        <v>472</v>
      </c>
      <c r="D314" s="21" t="s">
        <v>1022</v>
      </c>
      <c r="E314" s="21" t="b">
        <v>0</v>
      </c>
      <c r="G314" s="21" t="str">
        <f>VLOOKUP(C314,モンスター!$B$6:$H$100,2,FALSE)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m_my_skills VALUES ('myskill0310','monster052','skill027',FALSE);</v>
      </c>
    </row>
    <row r="315" spans="2:15">
      <c r="B315" s="44" t="s">
        <v>822</v>
      </c>
      <c r="C315" s="21" t="s">
        <v>472</v>
      </c>
      <c r="D315" s="21" t="s">
        <v>1018</v>
      </c>
      <c r="E315" s="21" t="b">
        <v>0</v>
      </c>
      <c r="G315" s="21" t="str">
        <f>VLOOKUP(C315,モンスター!$B$6:$H$100,2,FALSE)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m_my_skills VALUES ('myskill0311','monster052','skill055',FALSE);</v>
      </c>
    </row>
    <row r="316" spans="2:15">
      <c r="B316" s="44" t="s">
        <v>823</v>
      </c>
      <c r="C316" s="21" t="s">
        <v>472</v>
      </c>
      <c r="D316" s="21" t="s">
        <v>1017</v>
      </c>
      <c r="E316" s="21" t="b">
        <v>0</v>
      </c>
      <c r="G316" s="21" t="str">
        <f>VLOOKUP(C316,モンスター!$B$6:$H$100,2,FALSE)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m_my_skills VALUES ('myskill0312','monster052','skill009',FALSE);</v>
      </c>
    </row>
    <row r="317" spans="2:15">
      <c r="B317" s="44" t="s">
        <v>824</v>
      </c>
      <c r="C317" s="21" t="s">
        <v>473</v>
      </c>
      <c r="D317" s="21" t="s">
        <v>1077</v>
      </c>
      <c r="E317" s="21" t="b">
        <v>0</v>
      </c>
      <c r="G317" s="21" t="str">
        <f>VLOOKUP(C317,モンスター!$B$6:$H$100,2,FALSE)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m_my_skills VALUES ('myskill0313','monster053','skill064',FALSE);</v>
      </c>
    </row>
    <row r="318" spans="2:15">
      <c r="B318" s="44" t="s">
        <v>825</v>
      </c>
      <c r="C318" s="21" t="s">
        <v>473</v>
      </c>
      <c r="D318" s="21" t="s">
        <v>1017</v>
      </c>
      <c r="E318" s="21" t="b">
        <v>0</v>
      </c>
      <c r="G318" s="21" t="str">
        <f>VLOOKUP(C318,モンスター!$B$6:$H$100,2,FALSE)</f>
        <v>ギャルビー</v>
      </c>
      <c r="H318" s="24">
        <f>VLOOKUP(D318,スキル!$C$4:$O$96,8,FALSE)</f>
        <v>10</v>
      </c>
      <c r="I318" s="25" t="str">
        <f>VLOOKUP(D318,スキル!$C$4:$O$96,2,FALSE)</f>
        <v>斬撃</v>
      </c>
      <c r="N318" s="45"/>
      <c r="O318" s="1" t="str">
        <f t="shared" si="6"/>
        <v>INSERT INTO m_my_skills VALUES ('myskill0314','monster053','skill009',FALSE);</v>
      </c>
    </row>
    <row r="319" spans="2:15">
      <c r="B319" s="44" t="s">
        <v>826</v>
      </c>
      <c r="C319" s="21" t="s">
        <v>473</v>
      </c>
      <c r="D319" s="21" t="s">
        <v>1017</v>
      </c>
      <c r="E319" s="21" t="b">
        <v>0</v>
      </c>
      <c r="G319" s="21" t="str">
        <f>VLOOKUP(C319,モンスター!$B$6:$H$100,2,FALSE)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m_my_skills VALUES ('myskill0315','monster053','skill009',FALSE);</v>
      </c>
    </row>
    <row r="320" spans="2:15">
      <c r="B320" s="44" t="s">
        <v>827</v>
      </c>
      <c r="C320" s="21" t="s">
        <v>473</v>
      </c>
      <c r="D320" s="21" t="s">
        <v>1021</v>
      </c>
      <c r="E320" s="21" t="b">
        <v>0</v>
      </c>
      <c r="G320" s="21" t="str">
        <f>VLOOKUP(C320,モンスター!$B$6:$H$100,2,FALSE)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m_my_skills VALUES ('myskill0316','monster053','skill005',FALSE);</v>
      </c>
    </row>
    <row r="321" spans="2:15">
      <c r="B321" s="44" t="s">
        <v>828</v>
      </c>
      <c r="C321" s="21" t="s">
        <v>473</v>
      </c>
      <c r="D321" s="21" t="s">
        <v>1021</v>
      </c>
      <c r="E321" s="21" t="b">
        <v>0</v>
      </c>
      <c r="G321" s="21" t="str">
        <f>VLOOKUP(C321,モンスター!$B$6:$H$100,2,FALSE)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m_my_skills VALUES ('myskill0317','monster053','skill005',FALSE);</v>
      </c>
    </row>
    <row r="322" spans="2:15">
      <c r="B322" s="44" t="s">
        <v>829</v>
      </c>
      <c r="C322" s="21" t="s">
        <v>473</v>
      </c>
      <c r="D322" s="21" t="s">
        <v>1018</v>
      </c>
      <c r="E322" s="21" t="b">
        <v>0</v>
      </c>
      <c r="G322" s="21" t="str">
        <f>VLOOKUP(C322,モンスター!$B$6:$H$100,2,FALSE)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m_my_skills VALUES ('myskill0318','monster053','skill055',FALSE);</v>
      </c>
    </row>
    <row r="323" spans="2:15">
      <c r="B323" s="44" t="s">
        <v>830</v>
      </c>
      <c r="C323" s="21" t="s">
        <v>474</v>
      </c>
      <c r="D323" s="21" t="s">
        <v>1027</v>
      </c>
      <c r="E323" s="21" t="b">
        <v>0</v>
      </c>
      <c r="G323" s="21" t="str">
        <f>VLOOKUP(C323,モンスター!$B$6:$H$100,2,FALSE)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m_my_skills VALUES ('myskill0319','monster054','skill049',FALSE);</v>
      </c>
    </row>
    <row r="324" spans="2:15">
      <c r="B324" s="44" t="s">
        <v>831</v>
      </c>
      <c r="C324" s="21" t="s">
        <v>474</v>
      </c>
      <c r="D324" s="21" t="s">
        <v>1077</v>
      </c>
      <c r="E324" s="21" t="b">
        <v>0</v>
      </c>
      <c r="G324" s="21" t="str">
        <f>VLOOKUP(C324,モンスター!$B$6:$H$100,2,FALSE)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m_my_skills VALUES ('myskill0320','monster054','skill064',FALSE);</v>
      </c>
    </row>
    <row r="325" spans="2:15">
      <c r="B325" s="44" t="s">
        <v>832</v>
      </c>
      <c r="C325" s="21" t="s">
        <v>474</v>
      </c>
      <c r="D325" s="21" t="s">
        <v>1053</v>
      </c>
      <c r="E325" s="21" t="b">
        <v>0</v>
      </c>
      <c r="G325" s="21" t="str">
        <f>VLOOKUP(C325,モンスター!$B$6:$H$100,2,FALSE)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m_my_skills VALUES ('myskill0321','monster054','skill035',FALSE);</v>
      </c>
    </row>
    <row r="326" spans="2:15">
      <c r="B326" s="44" t="s">
        <v>833</v>
      </c>
      <c r="C326" s="21" t="s">
        <v>474</v>
      </c>
      <c r="D326" s="21" t="s">
        <v>1051</v>
      </c>
      <c r="E326" s="21" t="b">
        <v>0</v>
      </c>
      <c r="G326" s="21" t="str">
        <f>VLOOKUP(C326,モンスター!$B$6:$H$100,2,FALSE)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m_my_skills VALUES ("&amp;"'"&amp;B326&amp;"'"&amp;","&amp;"'"&amp;C326&amp;"'"&amp;","&amp;"'"&amp;D326&amp;"'"&amp;","&amp;E326&amp;");"</f>
        <v>INSERT INTO m_my_skills VALUES ('myskill0322','monster054','skill040',FALSE);</v>
      </c>
    </row>
    <row r="327" spans="2:15">
      <c r="B327" s="44" t="s">
        <v>834</v>
      </c>
      <c r="C327" s="21" t="s">
        <v>474</v>
      </c>
      <c r="D327" s="21" t="s">
        <v>1020</v>
      </c>
      <c r="E327" s="21" t="b">
        <v>0</v>
      </c>
      <c r="G327" s="21" t="str">
        <f>VLOOKUP(C327,モンスター!$B$6:$H$100,2,FALSE)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m_my_skills VALUES ('myskill0323','monster054','skill006',FALSE);</v>
      </c>
    </row>
    <row r="328" spans="2:15">
      <c r="B328" s="44" t="s">
        <v>835</v>
      </c>
      <c r="C328" s="21" t="s">
        <v>474</v>
      </c>
      <c r="D328" s="21" t="s">
        <v>1020</v>
      </c>
      <c r="E328" s="21" t="b">
        <v>0</v>
      </c>
      <c r="G328" s="21" t="str">
        <f>VLOOKUP(C328,モンスター!$B$6:$H$100,2,FALSE)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m_my_skills VALUES ('myskill0324','monster054','skill006',FALSE);</v>
      </c>
    </row>
    <row r="329" spans="2:15">
      <c r="B329" s="44" t="s">
        <v>836</v>
      </c>
      <c r="C329" s="21" t="s">
        <v>475</v>
      </c>
      <c r="D329" s="21" t="s">
        <v>1027</v>
      </c>
      <c r="E329" s="21" t="b">
        <v>0</v>
      </c>
      <c r="G329" s="21" t="str">
        <f>VLOOKUP(C329,モンスター!$B$6:$H$100,2,FALSE)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m_my_skills VALUES ('myskill0325','monster055','skill049',FALSE);</v>
      </c>
    </row>
    <row r="330" spans="2:15">
      <c r="B330" s="44" t="s">
        <v>837</v>
      </c>
      <c r="C330" s="21" t="s">
        <v>475</v>
      </c>
      <c r="D330" s="21" t="s">
        <v>1077</v>
      </c>
      <c r="E330" s="21" t="b">
        <v>0</v>
      </c>
      <c r="G330" s="21" t="str">
        <f>VLOOKUP(C330,モンスター!$B$6:$H$100,2,FALSE)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m_my_skills VALUES ('myskill0326','monster055','skill064',FALSE);</v>
      </c>
    </row>
    <row r="331" spans="2:15">
      <c r="B331" s="44" t="s">
        <v>838</v>
      </c>
      <c r="C331" s="21" t="s">
        <v>475</v>
      </c>
      <c r="D331" s="21" t="s">
        <v>1078</v>
      </c>
      <c r="E331" s="21" t="b">
        <v>0</v>
      </c>
      <c r="G331" s="21" t="str">
        <f>VLOOKUP(C331,モンスター!$B$6:$H$100,2,FALSE)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m_my_skills VALUES ('myskill0327','monster055','skill065',FALSE);</v>
      </c>
    </row>
    <row r="332" spans="2:15">
      <c r="B332" s="44" t="s">
        <v>839</v>
      </c>
      <c r="C332" s="21" t="s">
        <v>475</v>
      </c>
      <c r="D332" s="21" t="s">
        <v>1030</v>
      </c>
      <c r="E332" s="21" t="b">
        <v>0</v>
      </c>
      <c r="G332" s="21" t="str">
        <f>VLOOKUP(C332,モンスター!$B$6:$H$100,2,FALSE)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m_my_skills VALUES ('myskill0328','monster055','skill007',FALSE);</v>
      </c>
    </row>
    <row r="333" spans="2:15">
      <c r="B333" s="44" t="s">
        <v>840</v>
      </c>
      <c r="C333" s="21" t="s">
        <v>475</v>
      </c>
      <c r="D333" s="21" t="s">
        <v>1037</v>
      </c>
      <c r="E333" s="21" t="b">
        <v>0</v>
      </c>
      <c r="G333" s="21" t="str">
        <f>VLOOKUP(C333,モンスター!$B$6:$H$100,2,FALSE)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m_my_skills VALUES ('myskill0329','monster055','skill036',FALSE);</v>
      </c>
    </row>
    <row r="334" spans="2:15">
      <c r="B334" s="44" t="s">
        <v>841</v>
      </c>
      <c r="C334" s="21" t="s">
        <v>475</v>
      </c>
      <c r="D334" s="21" t="s">
        <v>1061</v>
      </c>
      <c r="E334" s="21" t="b">
        <v>0</v>
      </c>
      <c r="G334" s="21" t="str">
        <f>VLOOKUP(C334,モンスター!$B$6:$H$100,2,FALSE)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m_my_skills VALUES ('myskill0330','monster055','skill041',FALSE);</v>
      </c>
    </row>
    <row r="335" spans="2:15">
      <c r="B335" s="44" t="s">
        <v>842</v>
      </c>
      <c r="C335" s="21" t="s">
        <v>476</v>
      </c>
      <c r="D335" s="21" t="s">
        <v>1077</v>
      </c>
      <c r="E335" s="21" t="b">
        <v>0</v>
      </c>
      <c r="G335" s="21" t="str">
        <f>VLOOKUP(C335,モンスター!$B$6:$H$100,2,FALSE)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m_my_skills VALUES ('myskill0331','monster056','skill064',FALSE);</v>
      </c>
    </row>
    <row r="336" spans="2:15">
      <c r="B336" s="44" t="s">
        <v>843</v>
      </c>
      <c r="C336" s="21" t="s">
        <v>476</v>
      </c>
      <c r="D336" s="21" t="s">
        <v>1028</v>
      </c>
      <c r="E336" s="21" t="b">
        <v>0</v>
      </c>
      <c r="G336" s="21" t="str">
        <f>VLOOKUP(C336,モンスター!$B$6:$H$100,2,FALSE)</f>
        <v>サハギン</v>
      </c>
      <c r="H336" s="24" t="str">
        <f>VLOOKUP(D336,スキル!$C$4:$O$96,8,FALSE)</f>
        <v>10</v>
      </c>
      <c r="I336" s="25" t="str">
        <f>VLOOKUP(D336,スキル!$C$4:$O$96,2,FALSE)</f>
        <v>アイススマッシュ</v>
      </c>
      <c r="N336" s="45"/>
      <c r="O336" s="1" t="str">
        <f t="shared" si="7"/>
        <v>INSERT INTO m_my_skills VALUES ('myskill0332','monster056','skill020',FALSE);</v>
      </c>
    </row>
    <row r="337" spans="2:15">
      <c r="B337" s="44" t="s">
        <v>844</v>
      </c>
      <c r="C337" s="21" t="s">
        <v>476</v>
      </c>
      <c r="D337" s="21" t="s">
        <v>1028</v>
      </c>
      <c r="E337" s="21" t="b">
        <v>0</v>
      </c>
      <c r="G337" s="21" t="str">
        <f>VLOOKUP(C337,モンスター!$B$6:$H$100,2,FALSE)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m_my_skills VALUES ('myskill0333','monster056','skill020',FALSE);</v>
      </c>
    </row>
    <row r="338" spans="2:15">
      <c r="B338" s="44" t="s">
        <v>845</v>
      </c>
      <c r="C338" s="21" t="s">
        <v>476</v>
      </c>
      <c r="D338" s="21" t="s">
        <v>1072</v>
      </c>
      <c r="E338" s="21" t="b">
        <v>0</v>
      </c>
      <c r="G338" s="21" t="str">
        <f>VLOOKUP(C338,モンスター!$B$6:$H$100,2,FALSE)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m_my_skills VALUES ('myskill0334','monster056','skill060',FALSE);</v>
      </c>
    </row>
    <row r="339" spans="2:15">
      <c r="B339" s="44" t="s">
        <v>846</v>
      </c>
      <c r="C339" s="21" t="s">
        <v>476</v>
      </c>
      <c r="D339" s="21" t="s">
        <v>1028</v>
      </c>
      <c r="E339" s="21" t="b">
        <v>0</v>
      </c>
      <c r="G339" s="21" t="str">
        <f>VLOOKUP(C339,モンスター!$B$6:$H$100,2,FALSE)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m_my_skills VALUES ('myskill0335','monster056','skill020',FALSE);</v>
      </c>
    </row>
    <row r="340" spans="2:15">
      <c r="B340" s="44" t="s">
        <v>847</v>
      </c>
      <c r="C340" s="21" t="s">
        <v>476</v>
      </c>
      <c r="D340" s="21" t="s">
        <v>1018</v>
      </c>
      <c r="E340" s="21" t="b">
        <v>0</v>
      </c>
      <c r="G340" s="21" t="str">
        <f>VLOOKUP(C340,モンスター!$B$6:$H$100,2,FALSE)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m_my_skills VALUES ('myskill0336','monster056','skill055',FALSE);</v>
      </c>
    </row>
    <row r="341" spans="2:15">
      <c r="B341" s="44" t="s">
        <v>848</v>
      </c>
      <c r="C341" s="21" t="s">
        <v>477</v>
      </c>
      <c r="D341" s="21" t="s">
        <v>1031</v>
      </c>
      <c r="E341" s="21" t="b">
        <v>0</v>
      </c>
      <c r="G341" s="21" t="str">
        <f>VLOOKUP(C341,モンスター!$B$6:$H$100,2,FALSE)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m_my_skills VALUES ('myskill0337','monster057','skill021',FALSE);</v>
      </c>
    </row>
    <row r="342" spans="2:15">
      <c r="B342" s="44" t="s">
        <v>849</v>
      </c>
      <c r="C342" s="21" t="s">
        <v>477</v>
      </c>
      <c r="D342" s="21" t="s">
        <v>1031</v>
      </c>
      <c r="E342" s="21" t="b">
        <v>0</v>
      </c>
      <c r="G342" s="21" t="str">
        <f>VLOOKUP(C342,モンスター!$B$6:$H$100,2,FALSE)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m_my_skills VALUES ('myskill0338','monster057','skill021',FALSE);</v>
      </c>
    </row>
    <row r="343" spans="2:15">
      <c r="B343" s="44" t="s">
        <v>850</v>
      </c>
      <c r="C343" s="21" t="s">
        <v>477</v>
      </c>
      <c r="D343" s="21" t="s">
        <v>1025</v>
      </c>
      <c r="E343" s="21" t="b">
        <v>0</v>
      </c>
      <c r="G343" s="21" t="str">
        <f>VLOOKUP(C343,モンスター!$B$6:$H$100,2,FALSE)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m_my_skills VALUES ('myskill0339','monster057','skill010',FALSE);</v>
      </c>
    </row>
    <row r="344" spans="2:15">
      <c r="B344" s="44" t="s">
        <v>851</v>
      </c>
      <c r="C344" s="21" t="s">
        <v>477</v>
      </c>
      <c r="D344" s="21" t="s">
        <v>1078</v>
      </c>
      <c r="E344" s="21" t="b">
        <v>0</v>
      </c>
      <c r="G344" s="21" t="str">
        <f>VLOOKUP(C344,モンスター!$B$6:$H$100,2,FALSE)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m_my_skills VALUES ('myskill0340','monster057','skill065',FALSE);</v>
      </c>
    </row>
    <row r="345" spans="2:15">
      <c r="B345" s="44" t="s">
        <v>852</v>
      </c>
      <c r="C345" s="21" t="s">
        <v>477</v>
      </c>
      <c r="D345" s="21" t="s">
        <v>1017</v>
      </c>
      <c r="E345" s="21" t="b">
        <v>0</v>
      </c>
      <c r="G345" s="21" t="str">
        <f>VLOOKUP(C345,モンスター!$B$6:$H$100,2,FALSE)</f>
        <v>プチポセイドン</v>
      </c>
      <c r="H345" s="24">
        <f>VLOOKUP(D345,スキル!$C$4:$O$96,8,FALSE)</f>
        <v>10</v>
      </c>
      <c r="I345" s="25" t="str">
        <f>VLOOKUP(D345,スキル!$C$4:$O$96,2,FALSE)</f>
        <v>斬撃</v>
      </c>
      <c r="N345" s="45"/>
      <c r="O345" s="1" t="str">
        <f t="shared" si="7"/>
        <v>INSERT INTO m_my_skills VALUES ('myskill0341','monster057','skill009',FALSE);</v>
      </c>
    </row>
    <row r="346" spans="2:15">
      <c r="B346" s="44" t="s">
        <v>853</v>
      </c>
      <c r="C346" s="21" t="s">
        <v>477</v>
      </c>
      <c r="D346" s="21" t="s">
        <v>1017</v>
      </c>
      <c r="E346" s="21" t="b">
        <v>0</v>
      </c>
      <c r="G346" s="21" t="str">
        <f>VLOOKUP(C346,モンスター!$B$6:$H$100,2,FALSE)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m_my_skills VALUES ('myskill0342','monster057','skill009',FALSE);</v>
      </c>
    </row>
    <row r="347" spans="2:15">
      <c r="B347" s="44" t="s">
        <v>854</v>
      </c>
      <c r="C347" s="21" t="s">
        <v>478</v>
      </c>
      <c r="D347" s="21" t="s">
        <v>1041</v>
      </c>
      <c r="E347" s="21" t="b">
        <v>0</v>
      </c>
      <c r="G347" s="21" t="str">
        <f>VLOOKUP(C347,モンスター!$B$6:$H$100,2,FALSE)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m_my_skills VALUES ('myskill0343','monster058','skill001',FALSE);</v>
      </c>
    </row>
    <row r="348" spans="2:15">
      <c r="B348" s="44" t="s">
        <v>855</v>
      </c>
      <c r="C348" s="21" t="s">
        <v>478</v>
      </c>
      <c r="D348" s="21" t="s">
        <v>1018</v>
      </c>
      <c r="E348" s="21" t="b">
        <v>0</v>
      </c>
      <c r="G348" s="21" t="str">
        <f>VLOOKUP(C348,モンスター!$B$6:$H$100,2,FALSE)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m_my_skills VALUES ('myskill0344','monster058','skill055',FALSE);</v>
      </c>
    </row>
    <row r="349" spans="2:15">
      <c r="B349" s="44" t="s">
        <v>856</v>
      </c>
      <c r="C349" s="21" t="s">
        <v>478</v>
      </c>
      <c r="D349" s="21" t="s">
        <v>1071</v>
      </c>
      <c r="E349" s="21" t="b">
        <v>0</v>
      </c>
      <c r="G349" s="21" t="str">
        <f>VLOOKUP(C349,モンスター!$B$6:$H$100,2,FALSE)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m_my_skills VALUES ('myskill0345','monster058','skill066',FALSE);</v>
      </c>
    </row>
    <row r="350" spans="2:15">
      <c r="B350" s="44" t="s">
        <v>857</v>
      </c>
      <c r="C350" s="21" t="s">
        <v>478</v>
      </c>
      <c r="D350" s="21" t="s">
        <v>1079</v>
      </c>
      <c r="E350" s="21" t="b">
        <v>0</v>
      </c>
      <c r="G350" s="21" t="str">
        <f>VLOOKUP(C350,モンスター!$B$6:$H$100,2,FALSE)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m_my_skills VALUES ('myskill0346','monster058','skill068',FALSE);</v>
      </c>
    </row>
    <row r="351" spans="2:15">
      <c r="B351" s="44" t="s">
        <v>858</v>
      </c>
      <c r="C351" s="21" t="s">
        <v>478</v>
      </c>
      <c r="D351" s="21" t="s">
        <v>1019</v>
      </c>
      <c r="E351" s="21" t="b">
        <v>0</v>
      </c>
      <c r="G351" s="21" t="str">
        <f>VLOOKUP(C351,モンスター!$B$6:$H$100,2,FALSE)</f>
        <v>クロウラー</v>
      </c>
      <c r="H351" s="24" t="str">
        <f>VLOOKUP(D351,スキル!$C$4:$O$96,8,FALSE)</f>
        <v>10</v>
      </c>
      <c r="I351" s="25" t="str">
        <f>VLOOKUP(D351,スキル!$C$4:$O$96,2,FALSE)</f>
        <v>ダイヤミサイル</v>
      </c>
      <c r="N351" s="45"/>
      <c r="O351" s="1" t="str">
        <f t="shared" si="7"/>
        <v>INSERT INTO m_my_skills VALUES ('myskill0347','monster058','skill026',FALSE);</v>
      </c>
    </row>
    <row r="352" spans="2:15">
      <c r="B352" s="44" t="s">
        <v>859</v>
      </c>
      <c r="C352" s="21" t="s">
        <v>478</v>
      </c>
      <c r="D352" s="21" t="s">
        <v>1019</v>
      </c>
      <c r="E352" s="21" t="b">
        <v>0</v>
      </c>
      <c r="G352" s="21" t="str">
        <f>VLOOKUP(C352,モンスター!$B$6:$H$100,2,FALSE)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m_my_skills VALUES ('myskill0348','monster058','skill026',FALSE);</v>
      </c>
    </row>
    <row r="353" spans="2:15">
      <c r="B353" s="44" t="s">
        <v>860</v>
      </c>
      <c r="C353" s="21" t="s">
        <v>479</v>
      </c>
      <c r="D353" s="21" t="s">
        <v>1030</v>
      </c>
      <c r="E353" s="21" t="b">
        <v>0</v>
      </c>
      <c r="G353" s="21" t="str">
        <f>VLOOKUP(C353,モンスター!$B$6:$H$100,2,FALSE)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m_my_skills VALUES ('myskill0349','monster059','skill007',FALSE);</v>
      </c>
    </row>
    <row r="354" spans="2:15">
      <c r="B354" s="44" t="s">
        <v>861</v>
      </c>
      <c r="C354" s="21" t="s">
        <v>479</v>
      </c>
      <c r="D354" s="21" t="s">
        <v>1022</v>
      </c>
      <c r="E354" s="21" t="b">
        <v>0</v>
      </c>
      <c r="G354" s="21" t="str">
        <f>VLOOKUP(C354,モンスター!$B$6:$H$100,2,FALSE)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m_my_skills VALUES ('myskill0350','monster059','skill027',FALSE);</v>
      </c>
    </row>
    <row r="355" spans="2:15">
      <c r="B355" s="44" t="s">
        <v>862</v>
      </c>
      <c r="C355" s="21" t="s">
        <v>479</v>
      </c>
      <c r="D355" s="21" t="s">
        <v>1022</v>
      </c>
      <c r="E355" s="21" t="b">
        <v>0</v>
      </c>
      <c r="G355" s="21" t="str">
        <f>VLOOKUP(C355,モンスター!$B$6:$H$100,2,FALSE)</f>
        <v>メガクロウラー</v>
      </c>
      <c r="H355" s="24" t="str">
        <f>VLOOKUP(D355,スキル!$C$4:$O$96,8,FALSE)</f>
        <v>30</v>
      </c>
      <c r="I355" s="25" t="str">
        <f>VLOOKUP(D355,スキル!$C$4:$O$96,2,FALSE)</f>
        <v>アースクエイク</v>
      </c>
      <c r="N355" s="45"/>
      <c r="O355" s="1" t="str">
        <f t="shared" si="7"/>
        <v>INSERT INTO m_my_skills VALUES ('myskill0351','monster059','skill027',FALSE);</v>
      </c>
    </row>
    <row r="356" spans="2:15">
      <c r="B356" s="44" t="s">
        <v>863</v>
      </c>
      <c r="C356" s="21" t="s">
        <v>479</v>
      </c>
      <c r="D356" s="21" t="s">
        <v>1018</v>
      </c>
      <c r="E356" s="21" t="b">
        <v>0</v>
      </c>
      <c r="G356" s="21" t="str">
        <f>VLOOKUP(C356,モンスター!$B$6:$H$100,2,FALSE)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m_my_skills VALUES ('myskill0352','monster059','skill055',FALSE);</v>
      </c>
    </row>
    <row r="357" spans="2:15">
      <c r="B357" s="44" t="s">
        <v>864</v>
      </c>
      <c r="C357" s="21" t="s">
        <v>479</v>
      </c>
      <c r="D357" s="21" t="s">
        <v>1079</v>
      </c>
      <c r="E357" s="21" t="b">
        <v>0</v>
      </c>
      <c r="G357" s="21" t="str">
        <f>VLOOKUP(C357,モンスター!$B$6:$H$100,2,FALSE)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m_my_skills VALUES ('myskill0353','monster059','skill068',FALSE);</v>
      </c>
    </row>
    <row r="358" spans="2:15">
      <c r="B358" s="44" t="s">
        <v>865</v>
      </c>
      <c r="C358" s="21" t="s">
        <v>479</v>
      </c>
      <c r="D358" s="21" t="s">
        <v>1069</v>
      </c>
      <c r="E358" s="21" t="b">
        <v>0</v>
      </c>
      <c r="G358" s="21" t="str">
        <f>VLOOKUP(C358,モンスター!$B$6:$H$100,2,FALSE)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m_my_skills VALUES ('myskill0354','monster059','skill058',FALSE);</v>
      </c>
    </row>
    <row r="359" spans="2:15">
      <c r="B359" s="44" t="s">
        <v>866</v>
      </c>
      <c r="C359" s="21" t="s">
        <v>480</v>
      </c>
      <c r="D359" s="21" t="s">
        <v>1024</v>
      </c>
      <c r="E359" s="21" t="b">
        <v>0</v>
      </c>
      <c r="G359" s="21" t="str">
        <f>VLOOKUP(C359,モンスター!$B$6:$H$100,2,FALSE)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m_my_skills VALUES ('myskill0355','monster060','skill028',FALSE);</v>
      </c>
    </row>
    <row r="360" spans="2:15">
      <c r="B360" s="44" t="s">
        <v>867</v>
      </c>
      <c r="C360" s="21" t="s">
        <v>480</v>
      </c>
      <c r="D360" s="21" t="s">
        <v>1080</v>
      </c>
      <c r="E360" s="21" t="b">
        <v>0</v>
      </c>
      <c r="G360" s="21" t="str">
        <f>VLOOKUP(C360,モンスター!$B$6:$H$100,2,FALSE)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m_my_skills VALUES ('myskill0356','monster060','skill067',FALSE);</v>
      </c>
    </row>
    <row r="361" spans="2:15">
      <c r="B361" s="44" t="s">
        <v>868</v>
      </c>
      <c r="C361" s="21" t="s">
        <v>480</v>
      </c>
      <c r="D361" s="21" t="s">
        <v>1072</v>
      </c>
      <c r="E361" s="21" t="b">
        <v>0</v>
      </c>
      <c r="G361" s="21" t="str">
        <f>VLOOKUP(C361,モンスター!$B$6:$H$100,2,FALSE)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m_my_skills VALUES ('myskill0357','monster060','skill060',FALSE);</v>
      </c>
    </row>
    <row r="362" spans="2:15">
      <c r="B362" s="44" t="s">
        <v>869</v>
      </c>
      <c r="C362" s="21" t="s">
        <v>480</v>
      </c>
      <c r="D362" s="21" t="s">
        <v>1041</v>
      </c>
      <c r="E362" s="21" t="b">
        <v>0</v>
      </c>
      <c r="G362" s="21" t="str">
        <f>VLOOKUP(C362,モンスター!$B$6:$H$100,2,FALSE)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m_my_skills VALUES ('myskill0358','monster060','skill001',FALSE);</v>
      </c>
    </row>
    <row r="363" spans="2:15">
      <c r="B363" s="44" t="s">
        <v>870</v>
      </c>
      <c r="C363" s="21" t="s">
        <v>480</v>
      </c>
      <c r="D363" s="21" t="s">
        <v>1058</v>
      </c>
      <c r="E363" s="21" t="b">
        <v>0</v>
      </c>
      <c r="G363" s="21" t="str">
        <f>VLOOKUP(C363,モンスター!$B$6:$H$100,2,FALSE)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m_my_skills VALUES ('myskill0359','monster060','skill045',FALSE);</v>
      </c>
    </row>
    <row r="364" spans="2:15">
      <c r="B364" s="44" t="s">
        <v>871</v>
      </c>
      <c r="C364" s="21" t="s">
        <v>480</v>
      </c>
      <c r="D364" s="21" t="s">
        <v>1080</v>
      </c>
      <c r="E364" s="21" t="b">
        <v>0</v>
      </c>
      <c r="G364" s="21" t="str">
        <f>VLOOKUP(C364,モンスター!$B$6:$H$100,2,FALSE)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m_my_skills VALUES ('myskill0360','monster060','skill067',FALSE);</v>
      </c>
    </row>
    <row r="365" spans="2:15">
      <c r="B365" s="44" t="s">
        <v>872</v>
      </c>
      <c r="C365" s="21" t="s">
        <v>481</v>
      </c>
      <c r="D365" s="21" t="s">
        <v>1041</v>
      </c>
      <c r="E365" s="21" t="b">
        <v>0</v>
      </c>
      <c r="G365" s="21" t="str">
        <f>VLOOKUP(C365,モンスター!$B$6:$H$100,2,FALSE)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m_my_skills VALUES ('myskill0361','monster061','skill001',FALSE);</v>
      </c>
    </row>
    <row r="366" spans="2:15">
      <c r="B366" s="44" t="s">
        <v>873</v>
      </c>
      <c r="C366" s="21" t="s">
        <v>481</v>
      </c>
      <c r="D366" s="21" t="s">
        <v>1041</v>
      </c>
      <c r="E366" s="21" t="b">
        <v>0</v>
      </c>
      <c r="G366" s="21" t="str">
        <f>VLOOKUP(C366,モンスター!$B$6:$H$100,2,FALSE)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m_my_skills VALUES ('myskill0362','monster061','skill001',FALSE);</v>
      </c>
    </row>
    <row r="367" spans="2:15">
      <c r="B367" s="44" t="s">
        <v>874</v>
      </c>
      <c r="C367" s="21" t="s">
        <v>481</v>
      </c>
      <c r="D367" s="21" t="s">
        <v>1028</v>
      </c>
      <c r="E367" s="21" t="b">
        <v>0</v>
      </c>
      <c r="G367" s="21" t="str">
        <f>VLOOKUP(C367,モンスター!$B$6:$H$100,2,FALSE)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m_my_skills VALUES ('myskill0363','monster061','skill020',FALSE);</v>
      </c>
    </row>
    <row r="368" spans="2:15">
      <c r="B368" s="44" t="s">
        <v>875</v>
      </c>
      <c r="C368" s="21" t="s">
        <v>481</v>
      </c>
      <c r="D368" s="21" t="s">
        <v>1028</v>
      </c>
      <c r="E368" s="21" t="b">
        <v>0</v>
      </c>
      <c r="G368" s="21" t="str">
        <f>VLOOKUP(C368,モンスター!$B$6:$H$100,2,FALSE)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m_my_skills VALUES ('myskill0364','monster061','skill020',FALSE);</v>
      </c>
    </row>
    <row r="369" spans="2:15">
      <c r="B369" s="44" t="s">
        <v>876</v>
      </c>
      <c r="C369" s="21" t="s">
        <v>481</v>
      </c>
      <c r="D369" s="21" t="s">
        <v>1018</v>
      </c>
      <c r="E369" s="21" t="b">
        <v>0</v>
      </c>
      <c r="G369" s="21" t="str">
        <f>VLOOKUP(C369,モンスター!$B$6:$H$100,2,FALSE)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m_my_skills VALUES ('myskill0365','monster061','skill055',FALSE);</v>
      </c>
    </row>
    <row r="370" spans="2:15">
      <c r="B370" s="44" t="s">
        <v>877</v>
      </c>
      <c r="C370" s="21" t="s">
        <v>481</v>
      </c>
      <c r="D370" s="21" t="s">
        <v>1072</v>
      </c>
      <c r="E370" s="21" t="b">
        <v>0</v>
      </c>
      <c r="G370" s="21" t="str">
        <f>VLOOKUP(C370,モンスター!$B$6:$H$100,2,FALSE)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m_my_skills VALUES ('myskill0366','monster061','skill060',FALSE);</v>
      </c>
    </row>
    <row r="371" spans="2:15">
      <c r="B371" s="44" t="s">
        <v>878</v>
      </c>
      <c r="C371" s="21" t="s">
        <v>482</v>
      </c>
      <c r="D371" s="21" t="s">
        <v>1072</v>
      </c>
      <c r="E371" s="21" t="b">
        <v>0</v>
      </c>
      <c r="G371" s="21" t="str">
        <f>VLOOKUP(C371,モンスター!$B$6:$H$100,2,FALSE)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m_my_skills VALUES ('myskill0367','monster062','skill060',FALSE);</v>
      </c>
    </row>
    <row r="372" spans="2:15">
      <c r="B372" s="44" t="s">
        <v>879</v>
      </c>
      <c r="C372" s="21" t="s">
        <v>482</v>
      </c>
      <c r="D372" s="21" t="s">
        <v>1031</v>
      </c>
      <c r="E372" s="21" t="b">
        <v>0</v>
      </c>
      <c r="G372" s="21" t="str">
        <f>VLOOKUP(C372,モンスター!$B$6:$H$100,2,FALSE)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m_my_skills VALUES ('myskill0368','monster062','skill021',FALSE);</v>
      </c>
    </row>
    <row r="373" spans="2:15">
      <c r="B373" s="44" t="s">
        <v>880</v>
      </c>
      <c r="C373" s="21" t="s">
        <v>482</v>
      </c>
      <c r="D373" s="21" t="s">
        <v>1031</v>
      </c>
      <c r="E373" s="21" t="b">
        <v>0</v>
      </c>
      <c r="G373" s="21" t="str">
        <f>VLOOKUP(C373,モンスター!$B$6:$H$100,2,FALSE)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m_my_skills VALUES ('myskill0369','monster062','skill021',FALSE);</v>
      </c>
    </row>
    <row r="374" spans="2:15">
      <c r="B374" s="44" t="s">
        <v>881</v>
      </c>
      <c r="C374" s="21" t="s">
        <v>482</v>
      </c>
      <c r="D374" s="21" t="s">
        <v>1018</v>
      </c>
      <c r="E374" s="21" t="b">
        <v>0</v>
      </c>
      <c r="G374" s="21" t="str">
        <f>VLOOKUP(C374,モンスター!$B$6:$H$100,2,FALSE)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m_my_skills VALUES ('myskill0370','monster062','skill055',FALSE);</v>
      </c>
    </row>
    <row r="375" spans="2:15">
      <c r="B375" s="44" t="s">
        <v>882</v>
      </c>
      <c r="C375" s="21" t="s">
        <v>482</v>
      </c>
      <c r="D375" s="21" t="s">
        <v>1041</v>
      </c>
      <c r="E375" s="21" t="b">
        <v>0</v>
      </c>
      <c r="G375" s="21" t="str">
        <f>VLOOKUP(C375,モンスター!$B$6:$H$100,2,FALSE)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m_my_skills VALUES ('myskill0371','monster062','skill001',FALSE);</v>
      </c>
    </row>
    <row r="376" spans="2:15">
      <c r="B376" s="44" t="s">
        <v>883</v>
      </c>
      <c r="C376" s="21" t="s">
        <v>482</v>
      </c>
      <c r="D376" s="21" t="s">
        <v>1069</v>
      </c>
      <c r="E376" s="21" t="b">
        <v>0</v>
      </c>
      <c r="G376" s="21" t="str">
        <f>VLOOKUP(C376,モンスター!$B$6:$H$100,2,FALSE)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m_my_skills VALUES ('myskill0372','monster062','skill058',FALSE);</v>
      </c>
    </row>
    <row r="377" spans="2:15">
      <c r="B377" s="44" t="s">
        <v>884</v>
      </c>
      <c r="C377" s="21" t="s">
        <v>483</v>
      </c>
      <c r="D377" s="21" t="s">
        <v>1043</v>
      </c>
      <c r="E377" s="21" t="b">
        <v>0</v>
      </c>
      <c r="G377" s="21" t="str">
        <f>VLOOKUP(C377,モンスター!$B$6:$H$100,2,FALSE)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m_my_skills VALUES ('myskill0373','monster063','skill017',FALSE);</v>
      </c>
    </row>
    <row r="378" spans="2:15">
      <c r="B378" s="44" t="s">
        <v>885</v>
      </c>
      <c r="C378" s="21" t="s">
        <v>483</v>
      </c>
      <c r="D378" s="21" t="s">
        <v>1045</v>
      </c>
      <c r="E378" s="21" t="b">
        <v>0</v>
      </c>
      <c r="G378" s="21" t="str">
        <f>VLOOKUP(C378,モンスター!$B$6:$H$100,2,FALSE)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m_my_skills VALUES ('myskill0374','monster063','skill018',FALSE);</v>
      </c>
    </row>
    <row r="379" spans="2:15">
      <c r="B379" s="44" t="s">
        <v>886</v>
      </c>
      <c r="C379" s="21" t="s">
        <v>483</v>
      </c>
      <c r="D379" s="21" t="s">
        <v>1042</v>
      </c>
      <c r="E379" s="21" t="b">
        <v>0</v>
      </c>
      <c r="G379" s="21" t="str">
        <f>VLOOKUP(C379,モンスター!$B$6:$H$100,2,FALSE)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m_my_skills VALUES ('myskill0375','monster063','skill002',FALSE);</v>
      </c>
    </row>
    <row r="380" spans="2:15">
      <c r="B380" s="44" t="s">
        <v>887</v>
      </c>
      <c r="C380" s="21" t="s">
        <v>483</v>
      </c>
      <c r="D380" s="21" t="s">
        <v>1079</v>
      </c>
      <c r="E380" s="21" t="b">
        <v>0</v>
      </c>
      <c r="G380" s="21" t="str">
        <f>VLOOKUP(C380,モンスター!$B$6:$H$100,2,FALSE)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m_my_skills VALUES ('myskill0376','monster063','skill068',FALSE);</v>
      </c>
    </row>
    <row r="381" spans="2:15">
      <c r="B381" s="44" t="s">
        <v>888</v>
      </c>
      <c r="C381" s="21" t="s">
        <v>483</v>
      </c>
      <c r="D381" s="21" t="s">
        <v>1023</v>
      </c>
      <c r="E381" s="21" t="b">
        <v>0</v>
      </c>
      <c r="G381" s="21" t="str">
        <f>VLOOKUP(C381,モンスター!$B$6:$H$100,2,FALSE)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m_my_skills VALUES ('myskill0377','monster063','skill056',FALSE);</v>
      </c>
    </row>
    <row r="382" spans="2:15">
      <c r="B382" s="44" t="s">
        <v>889</v>
      </c>
      <c r="C382" s="21" t="s">
        <v>483</v>
      </c>
      <c r="D382" s="21" t="s">
        <v>1079</v>
      </c>
      <c r="E382" s="21" t="b">
        <v>0</v>
      </c>
      <c r="G382" s="21" t="str">
        <f>VLOOKUP(C382,モンスター!$B$6:$H$100,2,FALSE)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m_my_skills VALUES ('myskill0378','monster063','skill068',FALSE);</v>
      </c>
    </row>
    <row r="383" spans="2:15">
      <c r="B383" s="44" t="s">
        <v>890</v>
      </c>
      <c r="C383" s="21" t="s">
        <v>484</v>
      </c>
      <c r="D383" s="21" t="s">
        <v>1045</v>
      </c>
      <c r="E383" s="21" t="b">
        <v>0</v>
      </c>
      <c r="G383" s="21" t="str">
        <f>VLOOKUP(C383,モンスター!$B$6:$H$100,2,FALSE)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m_my_skills VALUES ('myskill0379','monster064','skill018',FALSE);</v>
      </c>
    </row>
    <row r="384" spans="2:15">
      <c r="B384" s="44" t="s">
        <v>891</v>
      </c>
      <c r="C384" s="21" t="s">
        <v>484</v>
      </c>
      <c r="D384" s="21" t="s">
        <v>1055</v>
      </c>
      <c r="E384" s="21" t="b">
        <v>0</v>
      </c>
      <c r="G384" s="21" t="str">
        <f>VLOOKUP(C384,モンスター!$B$6:$H$100,2,FALSE)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m_my_skills VALUES ('myskill0380','monster064','skill019',FALSE);</v>
      </c>
    </row>
    <row r="385" spans="2:15">
      <c r="B385" s="44" t="s">
        <v>892</v>
      </c>
      <c r="C385" s="21" t="s">
        <v>484</v>
      </c>
      <c r="D385" s="21" t="s">
        <v>1076</v>
      </c>
      <c r="E385" s="21" t="b">
        <v>0</v>
      </c>
      <c r="G385" s="21" t="str">
        <f>VLOOKUP(C385,モンスター!$B$6:$H$100,2,FALSE)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m_my_skills VALUES ('myskill0381','monster064','skill061',FALSE);</v>
      </c>
    </row>
    <row r="386" spans="2:15">
      <c r="B386" s="44" t="s">
        <v>893</v>
      </c>
      <c r="C386" s="21" t="s">
        <v>484</v>
      </c>
      <c r="D386" s="21" t="s">
        <v>1030</v>
      </c>
      <c r="E386" s="21" t="b">
        <v>0</v>
      </c>
      <c r="G386" s="21" t="str">
        <f>VLOOKUP(C386,モンスター!$B$6:$H$100,2,FALSE)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m_my_skills VALUES ('myskill0382','monster064','skill007',FALSE);</v>
      </c>
    </row>
    <row r="387" spans="2:15">
      <c r="B387" s="44" t="s">
        <v>894</v>
      </c>
      <c r="C387" s="21" t="s">
        <v>484</v>
      </c>
      <c r="D387" s="21" t="s">
        <v>1018</v>
      </c>
      <c r="E387" s="21" t="b">
        <v>0</v>
      </c>
      <c r="G387" s="21" t="str">
        <f>VLOOKUP(C387,モンスター!$B$6:$H$100,2,FALSE)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m_my_skills VALUES ('myskill0383','monster064','skill055',FALSE);</v>
      </c>
    </row>
    <row r="388" spans="2:15">
      <c r="B388" s="44" t="s">
        <v>895</v>
      </c>
      <c r="C388" s="21" t="s">
        <v>484</v>
      </c>
      <c r="D388" s="21" t="s">
        <v>1023</v>
      </c>
      <c r="E388" s="21" t="b">
        <v>0</v>
      </c>
      <c r="G388" s="21" t="str">
        <f>VLOOKUP(C388,モンスター!$B$6:$H$100,2,FALSE)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m_my_skills VALUES ('myskill0384','monster064','skill056',FALSE);</v>
      </c>
    </row>
    <row r="389" spans="2:15">
      <c r="B389" s="44" t="s">
        <v>896</v>
      </c>
      <c r="C389" s="21" t="s">
        <v>485</v>
      </c>
      <c r="D389" s="21" t="s">
        <v>1017</v>
      </c>
      <c r="E389" s="21" t="b">
        <v>0</v>
      </c>
      <c r="G389" s="21" t="str">
        <f>VLOOKUP(C389,モンスター!$B$6:$H$100,2,FALSE)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m_my_skills VALUES ('myskill0385','monster065','skill009',FALSE);</v>
      </c>
    </row>
    <row r="390" spans="2:15">
      <c r="B390" s="44" t="s">
        <v>897</v>
      </c>
      <c r="C390" s="21" t="s">
        <v>485</v>
      </c>
      <c r="D390" s="21" t="s">
        <v>1017</v>
      </c>
      <c r="E390" s="21" t="b">
        <v>0</v>
      </c>
      <c r="G390" s="21" t="str">
        <f>VLOOKUP(C390,モンスター!$B$6:$H$100,2,FALSE)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m_my_skills VALUES ("&amp;"'"&amp;B390&amp;"'"&amp;","&amp;"'"&amp;C390&amp;"'"&amp;","&amp;"'"&amp;D390&amp;"'"&amp;","&amp;E390&amp;");"</f>
        <v>INSERT INTO m_my_skills VALUES ('myskill0386','monster065','skill009',FALSE);</v>
      </c>
    </row>
    <row r="391" spans="2:15">
      <c r="B391" s="44" t="s">
        <v>898</v>
      </c>
      <c r="C391" s="21" t="s">
        <v>485</v>
      </c>
      <c r="D391" s="21" t="s">
        <v>1033</v>
      </c>
      <c r="E391" s="21" t="b">
        <v>0</v>
      </c>
      <c r="G391" s="21" t="str">
        <f>VLOOKUP(C391,モンスター!$B$6:$H$100,2,FALSE)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m_my_skills VALUES ('myskill0387','monster065','skill032',FALSE);</v>
      </c>
    </row>
    <row r="392" spans="2:15">
      <c r="B392" s="44" t="s">
        <v>899</v>
      </c>
      <c r="C392" s="21" t="s">
        <v>485</v>
      </c>
      <c r="D392" s="21" t="s">
        <v>1033</v>
      </c>
      <c r="E392" s="21" t="b">
        <v>0</v>
      </c>
      <c r="G392" s="21" t="str">
        <f>VLOOKUP(C392,モンスター!$B$6:$H$100,2,FALSE)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m_my_skills VALUES ('myskill0388','monster065','skill032',FALSE);</v>
      </c>
    </row>
    <row r="393" spans="2:15">
      <c r="B393" s="44" t="s">
        <v>900</v>
      </c>
      <c r="C393" s="21" t="s">
        <v>485</v>
      </c>
      <c r="D393" s="21" t="s">
        <v>1077</v>
      </c>
      <c r="E393" s="21" t="b">
        <v>0</v>
      </c>
      <c r="G393" s="21" t="str">
        <f>VLOOKUP(C393,モンスター!$B$6:$H$100,2,FALSE)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m_my_skills VALUES ('myskill0389','monster065','skill064',FALSE);</v>
      </c>
    </row>
    <row r="394" spans="2:15">
      <c r="B394" s="44" t="s">
        <v>901</v>
      </c>
      <c r="C394" s="21" t="s">
        <v>485</v>
      </c>
      <c r="D394" s="21" t="s">
        <v>1074</v>
      </c>
      <c r="E394" s="21" t="b">
        <v>0</v>
      </c>
      <c r="G394" s="21" t="str">
        <f>VLOOKUP(C394,モンスター!$B$6:$H$100,2,FALSE)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m_my_skills VALUES ('myskill0390','monster065','skill062',FALSE);</v>
      </c>
    </row>
    <row r="395" spans="2:15">
      <c r="B395" s="44" t="s">
        <v>902</v>
      </c>
      <c r="C395" s="21" t="s">
        <v>485</v>
      </c>
      <c r="D395" s="21" t="s">
        <v>1018</v>
      </c>
      <c r="E395" s="21" t="b">
        <v>0</v>
      </c>
      <c r="G395" s="21" t="str">
        <f>VLOOKUP(C395,モンスター!$B$6:$H$100,2,FALSE)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m_my_skills VALUES ('myskill0391','monster065','skill055',FALSE);</v>
      </c>
    </row>
    <row r="396" spans="2:15">
      <c r="B396" s="44" t="s">
        <v>903</v>
      </c>
      <c r="C396" s="21" t="s">
        <v>486</v>
      </c>
      <c r="D396" s="21" t="s">
        <v>1034</v>
      </c>
      <c r="E396" s="21" t="b">
        <v>0</v>
      </c>
      <c r="G396" s="21" t="str">
        <f>VLOOKUP(C396,モンスター!$B$6:$H$100,2,FALSE)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m_my_skills VALUES ('myskill0392','monster066','skill033',FALSE);</v>
      </c>
    </row>
    <row r="397" spans="2:15">
      <c r="B397" s="44" t="s">
        <v>904</v>
      </c>
      <c r="C397" s="21" t="s">
        <v>486</v>
      </c>
      <c r="D397" s="21" t="s">
        <v>1036</v>
      </c>
      <c r="E397" s="21" t="b">
        <v>0</v>
      </c>
      <c r="G397" s="21" t="str">
        <f>VLOOKUP(C397,モンスター!$B$6:$H$100,2,FALSE)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m_my_skills VALUES ('myskill0393','monster066','skill034',FALSE);</v>
      </c>
    </row>
    <row r="398" spans="2:15">
      <c r="B398" s="44" t="s">
        <v>905</v>
      </c>
      <c r="C398" s="21" t="s">
        <v>486</v>
      </c>
      <c r="D398" s="21" t="s">
        <v>1053</v>
      </c>
      <c r="E398" s="21" t="b">
        <v>0</v>
      </c>
      <c r="G398" s="21" t="str">
        <f>VLOOKUP(C398,モンスター!$B$6:$H$100,2,FALSE)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m_my_skills VALUES ('myskill0394','monster066','skill035',FALSE);</v>
      </c>
    </row>
    <row r="399" spans="2:15">
      <c r="B399" s="44" t="s">
        <v>906</v>
      </c>
      <c r="C399" s="21" t="s">
        <v>486</v>
      </c>
      <c r="D399" s="21" t="s">
        <v>1037</v>
      </c>
      <c r="E399" s="21" t="b">
        <v>0</v>
      </c>
      <c r="G399" s="21" t="str">
        <f>VLOOKUP(C399,モンスター!$B$6:$H$100,2,FALSE)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m_my_skills VALUES ('myskill0395','monster066','skill036',FALSE);</v>
      </c>
    </row>
    <row r="400" spans="2:15">
      <c r="B400" s="44" t="s">
        <v>907</v>
      </c>
      <c r="C400" s="21" t="s">
        <v>486</v>
      </c>
      <c r="D400" s="21" t="s">
        <v>1018</v>
      </c>
      <c r="E400" s="21" t="b">
        <v>0</v>
      </c>
      <c r="G400" s="21" t="str">
        <f>VLOOKUP(C400,モンスター!$B$6:$H$100,2,FALSE)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m_my_skills VALUES ('myskill0396','monster066','skill055',FALSE);</v>
      </c>
    </row>
    <row r="401" spans="2:15">
      <c r="B401" s="44" t="s">
        <v>908</v>
      </c>
      <c r="C401" s="21" t="s">
        <v>486</v>
      </c>
      <c r="D401" s="21" t="s">
        <v>1078</v>
      </c>
      <c r="E401" s="21" t="b">
        <v>0</v>
      </c>
      <c r="G401" s="21" t="str">
        <f>VLOOKUP(C401,モンスター!$B$6:$H$100,2,FALSE)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m_my_skills VALUES ('myskill0397','monster066','skill065',FALSE);</v>
      </c>
    </row>
    <row r="402" spans="2:15">
      <c r="B402" s="44" t="s">
        <v>909</v>
      </c>
      <c r="C402" s="21" t="s">
        <v>487</v>
      </c>
      <c r="D402" s="21" t="s">
        <v>1069</v>
      </c>
      <c r="E402" s="21" t="b">
        <v>0</v>
      </c>
      <c r="G402" s="21" t="str">
        <f>VLOOKUP(C402,モンスター!$B$6:$H$100,2,FALSE)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m_my_skills VALUES ('myskill0398','monster067','skill058',FALSE);</v>
      </c>
    </row>
    <row r="403" spans="2:15">
      <c r="B403" s="44" t="s">
        <v>910</v>
      </c>
      <c r="C403" s="21" t="s">
        <v>487</v>
      </c>
      <c r="D403" s="21" t="s">
        <v>1070</v>
      </c>
      <c r="E403" s="21" t="b">
        <v>0</v>
      </c>
      <c r="G403" s="21" t="str">
        <f>VLOOKUP(C403,モンスター!$B$6:$H$100,2,FALSE)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m_my_skills VALUES ('myskill0399','monster067','skill059',FALSE);</v>
      </c>
    </row>
    <row r="404" spans="2:15">
      <c r="B404" s="44" t="s">
        <v>911</v>
      </c>
      <c r="C404" s="21" t="s">
        <v>487</v>
      </c>
      <c r="D404" s="21" t="s">
        <v>1040</v>
      </c>
      <c r="E404" s="21" t="b">
        <v>0</v>
      </c>
      <c r="G404" s="21" t="str">
        <f>VLOOKUP(C404,モンスター!$B$6:$H$100,2,FALSE)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m_my_skills VALUES ('myskill0400','monster067','skill048',FALSE);</v>
      </c>
    </row>
    <row r="405" spans="2:15">
      <c r="B405" s="44" t="s">
        <v>912</v>
      </c>
      <c r="C405" s="21" t="s">
        <v>487</v>
      </c>
      <c r="D405" s="21" t="s">
        <v>1046</v>
      </c>
      <c r="E405" s="21" t="b">
        <v>0</v>
      </c>
      <c r="G405" s="21" t="str">
        <f>VLOOKUP(C405,モンスター!$B$6:$H$100,2,FALSE)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m_my_skills VALUES ('myskill0401','monster067','skill024',FALSE);</v>
      </c>
    </row>
    <row r="406" spans="2:15">
      <c r="B406" s="44" t="s">
        <v>913</v>
      </c>
      <c r="C406" s="21" t="s">
        <v>487</v>
      </c>
      <c r="D406" s="21" t="s">
        <v>1018</v>
      </c>
      <c r="E406" s="21" t="b">
        <v>0</v>
      </c>
      <c r="G406" s="21" t="str">
        <f>VLOOKUP(C406,モンスター!$B$6:$H$100,2,FALSE)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m_my_skills VALUES ('myskill0402','monster067','skill055',FALSE);</v>
      </c>
    </row>
    <row r="407" spans="2:15">
      <c r="B407" s="44" t="s">
        <v>914</v>
      </c>
      <c r="C407" s="21" t="s">
        <v>487</v>
      </c>
      <c r="D407" s="21" t="s">
        <v>1072</v>
      </c>
      <c r="E407" s="21" t="b">
        <v>0</v>
      </c>
      <c r="G407" s="21" t="str">
        <f>VLOOKUP(C407,モンスター!$B$6:$H$100,2,FALSE)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m_my_skills VALUES ('myskill0403','monster067','skill060',FALSE);</v>
      </c>
    </row>
    <row r="408" spans="2:15">
      <c r="B408" s="44" t="s">
        <v>915</v>
      </c>
      <c r="C408" s="21" t="s">
        <v>488</v>
      </c>
      <c r="D408" s="21" t="s">
        <v>1040</v>
      </c>
      <c r="E408" s="21" t="b">
        <v>0</v>
      </c>
      <c r="G408" s="21" t="str">
        <f>VLOOKUP(C408,モンスター!$B$6:$H$100,2,FALSE)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m_my_skills VALUES ('myskill0404','monster068','skill048',FALSE);</v>
      </c>
    </row>
    <row r="409" spans="2:15">
      <c r="B409" s="44" t="s">
        <v>916</v>
      </c>
      <c r="C409" s="21" t="s">
        <v>488</v>
      </c>
      <c r="D409" s="21" t="s">
        <v>1046</v>
      </c>
      <c r="E409" s="21" t="b">
        <v>0</v>
      </c>
      <c r="G409" s="21" t="str">
        <f>VLOOKUP(C409,モンスター!$B$6:$H$100,2,FALSE)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m_my_skills VALUES ('myskill0405','monster068','skill024',FALSE);</v>
      </c>
    </row>
    <row r="410" spans="2:15">
      <c r="B410" s="44" t="s">
        <v>917</v>
      </c>
      <c r="C410" s="21" t="s">
        <v>488</v>
      </c>
      <c r="D410" s="21" t="s">
        <v>1047</v>
      </c>
      <c r="E410" s="21" t="b">
        <v>0</v>
      </c>
      <c r="G410" s="21" t="str">
        <f>VLOOKUP(C410,モンスター!$B$6:$H$100,2,FALSE)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m_my_skills VALUES ('myskill0406','monster068','skill025',FALSE);</v>
      </c>
    </row>
    <row r="411" spans="2:15">
      <c r="B411" s="44" t="s">
        <v>918</v>
      </c>
      <c r="C411" s="21" t="s">
        <v>488</v>
      </c>
      <c r="D411" s="21" t="s">
        <v>1072</v>
      </c>
      <c r="E411" s="21" t="b">
        <v>0</v>
      </c>
      <c r="G411" s="21" t="str">
        <f>VLOOKUP(C411,モンスター!$B$6:$H$100,2,FALSE)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m_my_skills VALUES ('myskill0407','monster068','skill060',FALSE);</v>
      </c>
    </row>
    <row r="412" spans="2:15">
      <c r="B412" s="44" t="s">
        <v>919</v>
      </c>
      <c r="C412" s="21" t="s">
        <v>488</v>
      </c>
      <c r="D412" s="21" t="s">
        <v>1076</v>
      </c>
      <c r="E412" s="21" t="b">
        <v>0</v>
      </c>
      <c r="G412" s="21" t="str">
        <f>VLOOKUP(C412,モンスター!$B$6:$H$100,2,FALSE)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m_my_skills VALUES ('myskill0408','monster068','skill061',FALSE);</v>
      </c>
    </row>
    <row r="413" spans="2:15">
      <c r="B413" s="44" t="s">
        <v>920</v>
      </c>
      <c r="C413" s="21" t="s">
        <v>488</v>
      </c>
      <c r="D413" s="21" t="s">
        <v>1070</v>
      </c>
      <c r="E413" s="21" t="b">
        <v>0</v>
      </c>
      <c r="G413" s="21" t="str">
        <f>VLOOKUP(C413,モンスター!$B$6:$H$100,2,FALSE)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m_my_skills VALUES ('myskill0409','monster068','skill059',FALSE);</v>
      </c>
    </row>
    <row r="414" spans="2:15">
      <c r="B414" s="44" t="s">
        <v>921</v>
      </c>
      <c r="C414" s="21" t="s">
        <v>489</v>
      </c>
      <c r="D414" s="21" t="s">
        <v>1041</v>
      </c>
      <c r="E414" s="21" t="b">
        <v>0</v>
      </c>
      <c r="G414" s="21" t="str">
        <f>VLOOKUP(C414,モンスター!$B$6:$H$100,2,FALSE)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m_my_skills VALUES ('myskill0410','monster069','skill001',FALSE);</v>
      </c>
    </row>
    <row r="415" spans="2:15">
      <c r="B415" s="44" t="s">
        <v>922</v>
      </c>
      <c r="C415" s="21" t="s">
        <v>489</v>
      </c>
      <c r="D415" s="21" t="s">
        <v>1072</v>
      </c>
      <c r="E415" s="21" t="b">
        <v>0</v>
      </c>
      <c r="G415" s="21" t="str">
        <f>VLOOKUP(C415,モンスター!$B$6:$H$100,2,FALSE)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m_my_skills VALUES ('myskill0411','monster069','skill060',FALSE);</v>
      </c>
    </row>
    <row r="416" spans="2:15">
      <c r="B416" s="44" t="s">
        <v>923</v>
      </c>
      <c r="C416" s="21" t="s">
        <v>489</v>
      </c>
      <c r="D416" s="21" t="s">
        <v>1041</v>
      </c>
      <c r="E416" s="21" t="b">
        <v>0</v>
      </c>
      <c r="G416" s="21" t="str">
        <f>VLOOKUP(C416,モンスター!$B$6:$H$100,2,FALSE)</f>
        <v>バレッテ</v>
      </c>
      <c r="H416" s="24">
        <f>VLOOKUP(D416,スキル!$C$4:$O$96,8,FALSE)</f>
        <v>10</v>
      </c>
      <c r="I416" s="25" t="str">
        <f>VLOOKUP(D416,スキル!$C$4:$O$96,2,FALSE)</f>
        <v>打撃</v>
      </c>
      <c r="N416" s="45"/>
      <c r="O416" s="1" t="str">
        <f t="shared" si="8"/>
        <v>INSERT INTO m_my_skills VALUES ('myskill0412','monster069','skill001',FALSE);</v>
      </c>
    </row>
    <row r="417" spans="2:15">
      <c r="B417" s="44" t="s">
        <v>924</v>
      </c>
      <c r="C417" s="21" t="s">
        <v>489</v>
      </c>
      <c r="D417" s="21" t="s">
        <v>1072</v>
      </c>
      <c r="E417" s="21" t="b">
        <v>0</v>
      </c>
      <c r="G417" s="21" t="str">
        <f>VLOOKUP(C417,モンスター!$B$6:$H$100,2,FALSE)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m_my_skills VALUES ('myskill0413','monster069','skill060',FALSE);</v>
      </c>
    </row>
    <row r="418" spans="2:15">
      <c r="B418" s="44" t="s">
        <v>925</v>
      </c>
      <c r="C418" s="21" t="s">
        <v>489</v>
      </c>
      <c r="D418" s="21" t="s">
        <v>1018</v>
      </c>
      <c r="E418" s="21" t="b">
        <v>0</v>
      </c>
      <c r="G418" s="21" t="str">
        <f>VLOOKUP(C418,モンスター!$B$6:$H$100,2,FALSE)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m_my_skills VALUES ('myskill0414','monster069','skill055',FALSE);</v>
      </c>
    </row>
    <row r="419" spans="2:15">
      <c r="B419" s="44" t="s">
        <v>926</v>
      </c>
      <c r="C419" s="21" t="s">
        <v>489</v>
      </c>
      <c r="D419" s="21" t="s">
        <v>1028</v>
      </c>
      <c r="E419" s="21" t="b">
        <v>0</v>
      </c>
      <c r="G419" s="21" t="str">
        <f>VLOOKUP(C419,モンスター!$B$6:$H$100,2,FALSE)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アイススマッシュ</v>
      </c>
      <c r="N419" s="45"/>
      <c r="O419" s="1" t="str">
        <f t="shared" si="8"/>
        <v>INSERT INTO m_my_skills VALUES ('myskill0415','monster069','skill020',FALSE);</v>
      </c>
    </row>
    <row r="420" spans="2:15">
      <c r="B420" s="44" t="s">
        <v>927</v>
      </c>
      <c r="C420" s="21" t="s">
        <v>490</v>
      </c>
      <c r="D420" s="21" t="s">
        <v>1072</v>
      </c>
      <c r="E420" s="21" t="b">
        <v>0</v>
      </c>
      <c r="G420" s="21" t="str">
        <f>VLOOKUP(C420,モンスター!$B$6:$H$100,2,FALSE)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m_my_skills VALUES ('myskill0416','monster070','skill060',FALSE);</v>
      </c>
    </row>
    <row r="421" spans="2:15">
      <c r="B421" s="44" t="s">
        <v>928</v>
      </c>
      <c r="C421" s="21" t="s">
        <v>490</v>
      </c>
      <c r="D421" s="21" t="s">
        <v>1072</v>
      </c>
      <c r="E421" s="21" t="b">
        <v>0</v>
      </c>
      <c r="G421" s="21" t="str">
        <f>VLOOKUP(C421,モンスター!$B$6:$H$100,2,FALSE)</f>
        <v>ゴールドバレッテ</v>
      </c>
      <c r="H421" s="24">
        <f>VLOOKUP(D421,スキル!$C$4:$O$96,8,FALSE)</f>
        <v>15</v>
      </c>
      <c r="I421" s="25" t="str">
        <f>VLOOKUP(D421,スキル!$C$4:$O$96,2,FALSE)</f>
        <v>タックル</v>
      </c>
      <c r="N421" s="45"/>
      <c r="O421" s="1" t="str">
        <f t="shared" si="8"/>
        <v>INSERT INTO m_my_skills VALUES ('myskill0417','monster070','skill060',FALSE);</v>
      </c>
    </row>
    <row r="422" spans="2:15">
      <c r="B422" s="44" t="s">
        <v>929</v>
      </c>
      <c r="C422" s="21" t="s">
        <v>490</v>
      </c>
      <c r="D422" s="21" t="s">
        <v>1076</v>
      </c>
      <c r="E422" s="21" t="b">
        <v>0</v>
      </c>
      <c r="G422" s="21" t="str">
        <f>VLOOKUP(C422,モンスター!$B$6:$H$100,2,FALSE)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m_my_skills VALUES ('myskill0418','monster070','skill061',FALSE);</v>
      </c>
    </row>
    <row r="423" spans="2:15">
      <c r="B423" s="44" t="s">
        <v>930</v>
      </c>
      <c r="C423" s="21" t="s">
        <v>490</v>
      </c>
      <c r="D423" s="21" t="s">
        <v>1065</v>
      </c>
      <c r="E423" s="21" t="b">
        <v>0</v>
      </c>
      <c r="G423" s="21" t="str">
        <f>VLOOKUP(C423,モンスター!$B$6:$H$100,2,FALSE)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m_my_skills VALUES ('myskill0419','monster070','skill003',FALSE);</v>
      </c>
    </row>
    <row r="424" spans="2:15">
      <c r="B424" s="44" t="s">
        <v>931</v>
      </c>
      <c r="C424" s="21" t="s">
        <v>490</v>
      </c>
      <c r="D424" s="21" t="s">
        <v>1022</v>
      </c>
      <c r="E424" s="21" t="b">
        <v>0</v>
      </c>
      <c r="G424" s="21" t="str">
        <f>VLOOKUP(C424,モンスター!$B$6:$H$100,2,FALSE)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m_my_skills VALUES ('myskill0420','monster070','skill027',FALSE);</v>
      </c>
    </row>
    <row r="425" spans="2:15">
      <c r="B425" s="44" t="s">
        <v>932</v>
      </c>
      <c r="C425" s="21" t="s">
        <v>490</v>
      </c>
      <c r="D425" s="21" t="s">
        <v>1018</v>
      </c>
      <c r="E425" s="21" t="b">
        <v>0</v>
      </c>
      <c r="G425" s="21" t="str">
        <f>VLOOKUP(C425,モンスター!$B$6:$H$100,2,FALSE)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m_my_skills VALUES ('myskill0421','monster070','skill055',FALSE);</v>
      </c>
    </row>
    <row r="426" spans="2:15">
      <c r="B426" s="44" t="s">
        <v>933</v>
      </c>
      <c r="C426" s="21" t="s">
        <v>491</v>
      </c>
      <c r="D426" s="21" t="s">
        <v>1019</v>
      </c>
      <c r="E426" s="21" t="b">
        <v>0</v>
      </c>
      <c r="G426" s="21" t="str">
        <f>VLOOKUP(C426,モンスター!$B$6:$H$100,2,FALSE)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m_my_skills VALUES ('myskill0422','monster071','skill026',FALSE);</v>
      </c>
    </row>
    <row r="427" spans="2:15">
      <c r="B427" s="44" t="s">
        <v>934</v>
      </c>
      <c r="C427" s="21" t="s">
        <v>491</v>
      </c>
      <c r="D427" s="21" t="s">
        <v>1019</v>
      </c>
      <c r="E427" s="21" t="b">
        <v>0</v>
      </c>
      <c r="G427" s="21" t="str">
        <f>VLOOKUP(C427,モンスター!$B$6:$H$100,2,FALSE)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m_my_skills VALUES ('myskill0423','monster071','skill026',FALSE);</v>
      </c>
    </row>
    <row r="428" spans="2:15">
      <c r="B428" s="44" t="s">
        <v>935</v>
      </c>
      <c r="C428" s="21" t="s">
        <v>491</v>
      </c>
      <c r="D428" s="21" t="s">
        <v>1072</v>
      </c>
      <c r="E428" s="21" t="b">
        <v>0</v>
      </c>
      <c r="G428" s="21" t="str">
        <f>VLOOKUP(C428,モンスター!$B$6:$H$100,2,FALSE)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m_my_skills VALUES ('myskill0424','monster071','skill060',FALSE);</v>
      </c>
    </row>
    <row r="429" spans="2:15">
      <c r="B429" s="44" t="s">
        <v>936</v>
      </c>
      <c r="C429" s="21" t="s">
        <v>491</v>
      </c>
      <c r="D429" s="21" t="s">
        <v>1028</v>
      </c>
      <c r="E429" s="21" t="b">
        <v>0</v>
      </c>
      <c r="G429" s="21" t="str">
        <f>VLOOKUP(C429,モンスター!$B$6:$H$100,2,FALSE)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m_my_skills VALUES ('myskill0425','monster071','skill020',FALSE);</v>
      </c>
    </row>
    <row r="430" spans="2:15">
      <c r="B430" s="44" t="s">
        <v>937</v>
      </c>
      <c r="C430" s="21" t="s">
        <v>491</v>
      </c>
      <c r="D430" s="21" t="s">
        <v>1018</v>
      </c>
      <c r="E430" s="21" t="b">
        <v>0</v>
      </c>
      <c r="G430" s="21" t="str">
        <f>VLOOKUP(C430,モンスター!$B$6:$H$100,2,FALSE)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m_my_skills VALUES ('myskill0426','monster071','skill055',FALSE);</v>
      </c>
    </row>
    <row r="431" spans="2:15">
      <c r="B431" s="44" t="s">
        <v>938</v>
      </c>
      <c r="C431" s="21" t="s">
        <v>491</v>
      </c>
      <c r="D431" s="21" t="s">
        <v>1018</v>
      </c>
      <c r="E431" s="21" t="b">
        <v>0</v>
      </c>
      <c r="G431" s="21" t="str">
        <f>VLOOKUP(C431,モンスター!$B$6:$H$100,2,FALSE)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m_my_skills VALUES ('myskill0427','monster071','skill055',FALSE);</v>
      </c>
    </row>
    <row r="432" spans="2:15">
      <c r="B432" s="44" t="s">
        <v>939</v>
      </c>
      <c r="C432" s="21" t="s">
        <v>492</v>
      </c>
      <c r="D432" s="21" t="s">
        <v>1072</v>
      </c>
      <c r="E432" s="21" t="b">
        <v>0</v>
      </c>
      <c r="G432" s="21" t="str">
        <f>VLOOKUP(C432,モンスター!$B$6:$H$100,2,FALSE)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m_my_skills VALUES ('myskill0428','monster072','skill060',FALSE);</v>
      </c>
    </row>
    <row r="433" spans="2:15">
      <c r="B433" s="44" t="s">
        <v>940</v>
      </c>
      <c r="C433" s="21" t="s">
        <v>492</v>
      </c>
      <c r="D433" s="21" t="s">
        <v>1076</v>
      </c>
      <c r="E433" s="21" t="b">
        <v>0</v>
      </c>
      <c r="G433" s="21" t="str">
        <f>VLOOKUP(C433,モンスター!$B$6:$H$100,2,FALSE)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m_my_skills VALUES ('myskill0429','monster072','skill061',FALSE);</v>
      </c>
    </row>
    <row r="434" spans="2:15">
      <c r="B434" s="44" t="s">
        <v>941</v>
      </c>
      <c r="C434" s="21" t="s">
        <v>492</v>
      </c>
      <c r="D434" s="21" t="s">
        <v>1079</v>
      </c>
      <c r="E434" s="21" t="b">
        <v>0</v>
      </c>
      <c r="G434" s="21" t="str">
        <f>VLOOKUP(C434,モンスター!$B$6:$H$100,2,FALSE)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m_my_skills VALUES ('myskill0430','monster072','skill068',FALSE);</v>
      </c>
    </row>
    <row r="435" spans="2:15">
      <c r="B435" s="44" t="s">
        <v>942</v>
      </c>
      <c r="C435" s="21" t="s">
        <v>492</v>
      </c>
      <c r="D435" s="21" t="s">
        <v>1045</v>
      </c>
      <c r="E435" s="21" t="b">
        <v>0</v>
      </c>
      <c r="G435" s="21" t="str">
        <f>VLOOKUP(C435,モンスター!$B$6:$H$100,2,FALSE)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m_my_skills VALUES ('myskill0431','monster072','skill018',FALSE);</v>
      </c>
    </row>
    <row r="436" spans="2:15">
      <c r="B436" s="44" t="s">
        <v>943</v>
      </c>
      <c r="C436" s="21" t="s">
        <v>492</v>
      </c>
      <c r="D436" s="21" t="s">
        <v>1023</v>
      </c>
      <c r="E436" s="21" t="b">
        <v>0</v>
      </c>
      <c r="G436" s="21" t="str">
        <f>VLOOKUP(C436,モンスター!$B$6:$H$100,2,FALSE)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m_my_skills VALUES ('myskill0432','monster072','skill056',FALSE);</v>
      </c>
    </row>
    <row r="437" spans="2:15">
      <c r="B437" s="44" t="s">
        <v>944</v>
      </c>
      <c r="C437" s="21" t="s">
        <v>492</v>
      </c>
      <c r="D437" s="21" t="s">
        <v>1045</v>
      </c>
      <c r="E437" s="21" t="b">
        <v>0</v>
      </c>
      <c r="G437" s="21" t="str">
        <f>VLOOKUP(C437,モンスター!$B$6:$H$100,2,FALSE)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m_my_skills VALUES ('myskill0433','monster072','skill018',FALSE);</v>
      </c>
    </row>
    <row r="438" spans="2:15">
      <c r="B438" s="44" t="s">
        <v>945</v>
      </c>
      <c r="C438" s="21" t="s">
        <v>493</v>
      </c>
      <c r="D438" s="21" t="s">
        <v>1033</v>
      </c>
      <c r="E438" s="21" t="b">
        <v>0</v>
      </c>
      <c r="G438" s="21" t="str">
        <f>VLOOKUP(C438,モンスター!$B$6:$H$100,2,FALSE)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m_my_skills VALUES ('myskill0434','monster073','skill032',FALSE);</v>
      </c>
    </row>
    <row r="439" spans="2:15">
      <c r="B439" s="44" t="s">
        <v>946</v>
      </c>
      <c r="C439" s="21" t="s">
        <v>493</v>
      </c>
      <c r="D439" s="21" t="s">
        <v>1033</v>
      </c>
      <c r="E439" s="21" t="b">
        <v>0</v>
      </c>
      <c r="G439" s="21" t="str">
        <f>VLOOKUP(C439,モンスター!$B$6:$H$100,2,FALSE)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m_my_skills VALUES ('myskill0435','monster073','skill032',FALSE);</v>
      </c>
    </row>
    <row r="440" spans="2:15">
      <c r="B440" s="44" t="s">
        <v>947</v>
      </c>
      <c r="C440" s="21" t="s">
        <v>493</v>
      </c>
      <c r="D440" s="21" t="s">
        <v>1033</v>
      </c>
      <c r="E440" s="21" t="b">
        <v>0</v>
      </c>
      <c r="G440" s="21" t="str">
        <f>VLOOKUP(C440,モンスター!$B$6:$H$100,2,FALSE)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m_my_skills VALUES ('myskill0436','monster073','skill032',FALSE);</v>
      </c>
    </row>
    <row r="441" spans="2:15">
      <c r="B441" s="44" t="s">
        <v>948</v>
      </c>
      <c r="C441" s="21" t="s">
        <v>493</v>
      </c>
      <c r="D441" s="21" t="s">
        <v>1039</v>
      </c>
      <c r="E441" s="21" t="b">
        <v>0</v>
      </c>
      <c r="G441" s="21" t="str">
        <f>VLOOKUP(C441,モンスター!$B$6:$H$100,2,FALSE)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m_my_skills VALUES ('myskill0437','monster073','skill047',FALSE);</v>
      </c>
    </row>
    <row r="442" spans="2:15">
      <c r="B442" s="44" t="s">
        <v>949</v>
      </c>
      <c r="C442" s="21" t="s">
        <v>493</v>
      </c>
      <c r="D442" s="21" t="s">
        <v>1018</v>
      </c>
      <c r="E442" s="21" t="b">
        <v>0</v>
      </c>
      <c r="G442" s="21" t="str">
        <f>VLOOKUP(C442,モンスター!$B$6:$H$100,2,FALSE)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m_my_skills VALUES ('myskill0438','monster073','skill055',FALSE);</v>
      </c>
    </row>
    <row r="443" spans="2:15">
      <c r="B443" s="44" t="s">
        <v>950</v>
      </c>
      <c r="C443" s="21" t="s">
        <v>493</v>
      </c>
      <c r="D443" s="21" t="s">
        <v>1072</v>
      </c>
      <c r="E443" s="21" t="b">
        <v>0</v>
      </c>
      <c r="G443" s="21" t="str">
        <f>VLOOKUP(C443,モンスター!$B$6:$H$100,2,FALSE)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m_my_skills VALUES ('myskill0439','monster073','skill060',FALSE);</v>
      </c>
    </row>
    <row r="444" spans="2:15">
      <c r="B444" s="44" t="s">
        <v>951</v>
      </c>
      <c r="C444" s="21" t="s">
        <v>494</v>
      </c>
      <c r="D444" s="21" t="s">
        <v>1034</v>
      </c>
      <c r="E444" s="21" t="b">
        <v>0</v>
      </c>
      <c r="G444" s="21" t="str">
        <f>VLOOKUP(C444,モンスター!$B$6:$H$100,2,FALSE)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m_my_skills VALUES ('myskill0440','monster074','skill033',FALSE);</v>
      </c>
    </row>
    <row r="445" spans="2:15">
      <c r="B445" s="44" t="s">
        <v>952</v>
      </c>
      <c r="C445" s="21" t="s">
        <v>494</v>
      </c>
      <c r="D445" s="21" t="s">
        <v>1033</v>
      </c>
      <c r="E445" s="21" t="b">
        <v>0</v>
      </c>
      <c r="G445" s="21" t="str">
        <f>VLOOKUP(C445,モンスター!$B$6:$H$100,2,FALSE)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m_my_skills VALUES ('myskill0441','monster074','skill032',FALSE);</v>
      </c>
    </row>
    <row r="446" spans="2:15">
      <c r="B446" s="44" t="s">
        <v>953</v>
      </c>
      <c r="C446" s="21" t="s">
        <v>494</v>
      </c>
      <c r="D446" s="21" t="s">
        <v>1036</v>
      </c>
      <c r="E446" s="21" t="b">
        <v>0</v>
      </c>
      <c r="G446" s="21" t="str">
        <f>VLOOKUP(C446,モンスター!$B$6:$H$100,2,FALSE)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m_my_skills VALUES ('myskill0442','monster074','skill034',FALSE);</v>
      </c>
    </row>
    <row r="447" spans="2:15">
      <c r="B447" s="44" t="s">
        <v>954</v>
      </c>
      <c r="C447" s="21" t="s">
        <v>494</v>
      </c>
      <c r="D447" s="21" t="s">
        <v>1035</v>
      </c>
      <c r="E447" s="21" t="b">
        <v>0</v>
      </c>
      <c r="G447" s="21" t="str">
        <f>VLOOKUP(C447,モンスター!$B$6:$H$100,2,FALSE)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m_my_skills VALUES ('myskill0443','monster074','skill057',FALSE);</v>
      </c>
    </row>
    <row r="448" spans="2:15">
      <c r="B448" s="44" t="s">
        <v>955</v>
      </c>
      <c r="C448" s="21" t="s">
        <v>494</v>
      </c>
      <c r="D448" s="21" t="s">
        <v>1072</v>
      </c>
      <c r="E448" s="21" t="b">
        <v>0</v>
      </c>
      <c r="G448" s="21" t="str">
        <f>VLOOKUP(C448,モンスター!$B$6:$H$100,2,FALSE)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m_my_skills VALUES ('myskill0444','monster074','skill060',FALSE);</v>
      </c>
    </row>
    <row r="449" spans="2:15">
      <c r="B449" s="44" t="s">
        <v>956</v>
      </c>
      <c r="C449" s="21" t="s">
        <v>494</v>
      </c>
      <c r="D449" s="21" t="s">
        <v>1020</v>
      </c>
      <c r="E449" s="21" t="b">
        <v>0</v>
      </c>
      <c r="G449" s="21" t="str">
        <f>VLOOKUP(C449,モンスター!$B$6:$H$100,2,FALSE)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m_my_skills VALUES ('myskill0445','monster074','skill006',FALSE);</v>
      </c>
    </row>
    <row r="450" spans="2:15">
      <c r="B450" s="44" t="s">
        <v>957</v>
      </c>
      <c r="C450" s="21" t="s">
        <v>495</v>
      </c>
      <c r="D450" s="21" t="s">
        <v>1017</v>
      </c>
      <c r="E450" s="21" t="b">
        <v>0</v>
      </c>
      <c r="G450" s="21" t="str">
        <f>VLOOKUP(C450,モンスター!$B$6:$H$100,2,FALSE)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m_my_skills VALUES ('myskill0446','monster075','skill009',FALSE);</v>
      </c>
    </row>
    <row r="451" spans="2:15">
      <c r="B451" s="44" t="s">
        <v>958</v>
      </c>
      <c r="C451" s="21" t="s">
        <v>495</v>
      </c>
      <c r="D451" s="21" t="s">
        <v>1044</v>
      </c>
      <c r="E451" s="21" t="b">
        <v>0</v>
      </c>
      <c r="G451" s="21" t="str">
        <f>VLOOKUP(C451,モンスター!$B$6:$H$100,2,FALSE)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m_my_skills VALUES ('myskill0447','monster075','skill023',FALSE);</v>
      </c>
    </row>
    <row r="452" spans="2:15">
      <c r="B452" s="44" t="s">
        <v>959</v>
      </c>
      <c r="C452" s="21" t="s">
        <v>495</v>
      </c>
      <c r="D452" s="21" t="s">
        <v>1019</v>
      </c>
      <c r="E452" s="21" t="b">
        <v>0</v>
      </c>
      <c r="G452" s="21" t="str">
        <f>VLOOKUP(C452,モンスター!$B$6:$H$100,2,FALSE)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m_my_skills VALUES ('myskill0448','monster075','skill026',FALSE);</v>
      </c>
    </row>
    <row r="453" spans="2:15">
      <c r="B453" s="44" t="s">
        <v>960</v>
      </c>
      <c r="C453" s="21" t="s">
        <v>495</v>
      </c>
      <c r="D453" s="21" t="s">
        <v>1062</v>
      </c>
      <c r="E453" s="21" t="b">
        <v>0</v>
      </c>
      <c r="G453" s="21" t="str">
        <f>VLOOKUP(C453,モンスター!$B$6:$H$100,2,FALSE)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m_my_skills VALUES ('myskill0449','monster075','skill039',FALSE);</v>
      </c>
    </row>
    <row r="454" spans="2:15">
      <c r="B454" s="44" t="s">
        <v>961</v>
      </c>
      <c r="C454" s="21" t="s">
        <v>495</v>
      </c>
      <c r="D454" s="21" t="s">
        <v>1077</v>
      </c>
      <c r="E454" s="21" t="b">
        <v>0</v>
      </c>
      <c r="G454" s="21" t="str">
        <f>VLOOKUP(C454,モンスター!$B$6:$H$100,2,FALSE)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m_my_skills VALUES ("&amp;"'"&amp;B454&amp;"'"&amp;","&amp;"'"&amp;C454&amp;"'"&amp;","&amp;"'"&amp;D454&amp;"'"&amp;","&amp;E454&amp;");"</f>
        <v>INSERT INTO m_my_skills VALUES ('myskill0450','monster075','skill064',FALSE);</v>
      </c>
    </row>
    <row r="455" spans="2:15">
      <c r="B455" s="44" t="s">
        <v>962</v>
      </c>
      <c r="C455" s="21" t="s">
        <v>495</v>
      </c>
      <c r="D455" s="21" t="s">
        <v>1077</v>
      </c>
      <c r="E455" s="21" t="b">
        <v>0</v>
      </c>
      <c r="G455" s="21" t="str">
        <f>VLOOKUP(C455,モンスター!$B$6:$H$100,2,FALSE)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m_my_skills VALUES ('myskill0451','monster075','skill064',FALSE);</v>
      </c>
    </row>
    <row r="456" spans="2:15">
      <c r="B456" s="44" t="s">
        <v>963</v>
      </c>
      <c r="C456" s="21" t="s">
        <v>496</v>
      </c>
      <c r="D456" s="21" t="s">
        <v>1024</v>
      </c>
      <c r="E456" s="21" t="b">
        <v>0</v>
      </c>
      <c r="G456" s="21" t="str">
        <f>VLOOKUP(C456,モンスター!$B$6:$H$100,2,FALSE)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m_my_skills VALUES ('myskill0452','monster076','skill028',FALSE);</v>
      </c>
    </row>
    <row r="457" spans="2:15">
      <c r="B457" s="44" t="s">
        <v>964</v>
      </c>
      <c r="C457" s="21" t="s">
        <v>496</v>
      </c>
      <c r="D457" s="21" t="s">
        <v>1079</v>
      </c>
      <c r="E457" s="21" t="b">
        <v>0</v>
      </c>
      <c r="G457" s="21" t="str">
        <f>VLOOKUP(C457,モンスター!$B$6:$H$100,2,FALSE)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m_my_skills VALUES ('myskill0453','monster076','skill068',FALSE);</v>
      </c>
    </row>
    <row r="458" spans="2:15">
      <c r="B458" s="44" t="s">
        <v>965</v>
      </c>
      <c r="C458" s="21" t="s">
        <v>496</v>
      </c>
      <c r="D458" s="21" t="s">
        <v>1078</v>
      </c>
      <c r="E458" s="21" t="b">
        <v>0</v>
      </c>
      <c r="G458" s="21" t="str">
        <f>VLOOKUP(C458,モンスター!$B$6:$H$100,2,FALSE)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m_my_skills VALUES ('myskill0454','monster076','skill065',FALSE);</v>
      </c>
    </row>
    <row r="459" spans="2:15">
      <c r="B459" s="44" t="s">
        <v>966</v>
      </c>
      <c r="C459" s="21" t="s">
        <v>496</v>
      </c>
      <c r="D459" s="21" t="s">
        <v>1061</v>
      </c>
      <c r="E459" s="21" t="b">
        <v>0</v>
      </c>
      <c r="G459" s="21" t="str">
        <f>VLOOKUP(C459,モンスター!$B$6:$H$100,2,FALSE)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m_my_skills VALUES ('myskill0455','monster076','skill041',FALSE);</v>
      </c>
    </row>
    <row r="460" spans="2:15">
      <c r="B460" s="44" t="s">
        <v>967</v>
      </c>
      <c r="C460" s="21" t="s">
        <v>496</v>
      </c>
      <c r="D460" s="21" t="s">
        <v>1023</v>
      </c>
      <c r="E460" s="21" t="b">
        <v>0</v>
      </c>
      <c r="G460" s="21" t="str">
        <f>VLOOKUP(C460,モンスター!$B$6:$H$100,2,FALSE)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m_my_skills VALUES ('myskill0456','monster076','skill056',FALSE);</v>
      </c>
    </row>
    <row r="461" spans="2:15">
      <c r="B461" s="44" t="s">
        <v>968</v>
      </c>
      <c r="C461" s="21" t="s">
        <v>496</v>
      </c>
      <c r="D461" s="21" t="s">
        <v>1050</v>
      </c>
      <c r="E461" s="21" t="b">
        <v>0</v>
      </c>
      <c r="G461" s="21" t="str">
        <f>VLOOKUP(C461,モンスター!$B$6:$H$100,2,FALSE)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m_my_skills VALUES ('myskill0457','monster076','skill015',FALSE);</v>
      </c>
    </row>
    <row r="462" spans="2:15">
      <c r="B462" s="44" t="s">
        <v>969</v>
      </c>
      <c r="C462" s="21" t="s">
        <v>497</v>
      </c>
      <c r="D462" s="21" t="s">
        <v>1042</v>
      </c>
      <c r="E462" s="21" t="b">
        <v>0</v>
      </c>
      <c r="G462" s="21" t="str">
        <f>VLOOKUP(C462,モンスター!$B$6:$H$100,2,FALSE)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m_my_skills VALUES ('myskill0458','monster077','skill002',FALSE);</v>
      </c>
    </row>
    <row r="463" spans="2:15">
      <c r="B463" s="44" t="s">
        <v>970</v>
      </c>
      <c r="C463" s="21" t="s">
        <v>497</v>
      </c>
      <c r="D463" s="21" t="s">
        <v>1042</v>
      </c>
      <c r="E463" s="21" t="b">
        <v>0</v>
      </c>
      <c r="G463" s="21" t="str">
        <f>VLOOKUP(C463,モンスター!$B$6:$H$100,2,FALSE)</f>
        <v>シェイプシフター</v>
      </c>
      <c r="H463" s="24">
        <f>VLOOKUP(D463,スキル!$C$4:$O$96,8,FALSE)</f>
        <v>20</v>
      </c>
      <c r="I463" s="25" t="str">
        <f>VLOOKUP(D463,スキル!$C$4:$O$96,2,FALSE)</f>
        <v>正拳突き</v>
      </c>
      <c r="N463" s="45"/>
      <c r="O463" s="1" t="str">
        <f t="shared" si="9"/>
        <v>INSERT INTO m_my_skills VALUES ('myskill0459','monster077','skill002',FALSE);</v>
      </c>
    </row>
    <row r="464" spans="2:15">
      <c r="B464" s="44" t="s">
        <v>971</v>
      </c>
      <c r="C464" s="21" t="s">
        <v>497</v>
      </c>
      <c r="D464" s="21" t="s">
        <v>1033</v>
      </c>
      <c r="E464" s="21" t="b">
        <v>0</v>
      </c>
      <c r="G464" s="21" t="str">
        <f>VLOOKUP(C464,モンスター!$B$6:$H$100,2,FALSE)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m_my_skills VALUES ('myskill0460','monster077','skill032',FALSE);</v>
      </c>
    </row>
    <row r="465" spans="2:15">
      <c r="B465" s="44" t="s">
        <v>972</v>
      </c>
      <c r="C465" s="21" t="s">
        <v>497</v>
      </c>
      <c r="D465" s="21" t="s">
        <v>1053</v>
      </c>
      <c r="E465" s="21" t="b">
        <v>0</v>
      </c>
      <c r="G465" s="21" t="str">
        <f>VLOOKUP(C465,モンスター!$B$6:$H$100,2,FALSE)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m_my_skills VALUES ('myskill0461','monster077','skill035',FALSE);</v>
      </c>
    </row>
    <row r="466" spans="2:15">
      <c r="B466" s="44" t="s">
        <v>973</v>
      </c>
      <c r="C466" s="21" t="s">
        <v>497</v>
      </c>
      <c r="D466" s="21" t="s">
        <v>1034</v>
      </c>
      <c r="E466" s="21" t="b">
        <v>0</v>
      </c>
      <c r="G466" s="21" t="str">
        <f>VLOOKUP(C466,モンスター!$B$6:$H$100,2,FALSE)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m_my_skills VALUES ('myskill0462','monster077','skill033',FALSE);</v>
      </c>
    </row>
    <row r="467" spans="2:15">
      <c r="B467" s="44" t="s">
        <v>974</v>
      </c>
      <c r="C467" s="21" t="s">
        <v>497</v>
      </c>
      <c r="D467" s="21" t="s">
        <v>1018</v>
      </c>
      <c r="E467" s="21" t="b">
        <v>0</v>
      </c>
      <c r="G467" s="21" t="str">
        <f>VLOOKUP(C467,モンスター!$B$6:$H$100,2,FALSE)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m_my_skills VALUES ('myskill0463','monster077','skill055',FALSE);</v>
      </c>
    </row>
    <row r="468" spans="2:15">
      <c r="B468" s="44" t="s">
        <v>975</v>
      </c>
      <c r="C468" s="21" t="s">
        <v>498</v>
      </c>
      <c r="D468" s="21" t="s">
        <v>1034</v>
      </c>
      <c r="E468" s="21" t="b">
        <v>0</v>
      </c>
      <c r="G468" s="21" t="str">
        <f>VLOOKUP(C468,モンスター!$B$6:$H$100,2,FALSE)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m_my_skills VALUES ('myskill0464','monster078','skill033',FALSE);</v>
      </c>
    </row>
    <row r="469" spans="2:15">
      <c r="B469" s="44" t="s">
        <v>976</v>
      </c>
      <c r="C469" s="21" t="s">
        <v>498</v>
      </c>
      <c r="D469" s="21" t="s">
        <v>1036</v>
      </c>
      <c r="E469" s="21" t="b">
        <v>0</v>
      </c>
      <c r="G469" s="21" t="str">
        <f>VLOOKUP(C469,モンスター!$B$6:$H$100,2,FALSE)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m_my_skills VALUES ('myskill0465','monster078','skill034',FALSE);</v>
      </c>
    </row>
    <row r="470" spans="2:15">
      <c r="B470" s="44" t="s">
        <v>977</v>
      </c>
      <c r="C470" s="21" t="s">
        <v>498</v>
      </c>
      <c r="D470" s="21" t="s">
        <v>1037</v>
      </c>
      <c r="E470" s="21" t="b">
        <v>0</v>
      </c>
      <c r="G470" s="21" t="str">
        <f>VLOOKUP(C470,モンスター!$B$6:$H$100,2,FALSE)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m_my_skills VALUES ('myskill0466','monster078','skill036',FALSE);</v>
      </c>
    </row>
    <row r="471" spans="2:15">
      <c r="B471" s="44" t="s">
        <v>978</v>
      </c>
      <c r="C471" s="21" t="s">
        <v>498</v>
      </c>
      <c r="D471" s="21" t="s">
        <v>1072</v>
      </c>
      <c r="E471" s="21" t="b">
        <v>0</v>
      </c>
      <c r="G471" s="21" t="str">
        <f>VLOOKUP(C471,モンスター!$B$6:$H$100,2,FALSE)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m_my_skills VALUES ('myskill0467','monster078','skill060',FALSE);</v>
      </c>
    </row>
    <row r="472" spans="2:15">
      <c r="B472" s="44" t="s">
        <v>979</v>
      </c>
      <c r="C472" s="21" t="s">
        <v>498</v>
      </c>
      <c r="D472" s="21" t="s">
        <v>1023</v>
      </c>
      <c r="E472" s="21" t="b">
        <v>0</v>
      </c>
      <c r="G472" s="21" t="str">
        <f>VLOOKUP(C472,モンスター!$B$6:$H$100,2,FALSE)</f>
        <v>シャドウゼロ</v>
      </c>
      <c r="H472" s="24">
        <f>VLOOKUP(D472,スキル!$C$4:$O$96,8,FALSE)</f>
        <v>0</v>
      </c>
      <c r="I472" s="25" t="str">
        <f>VLOOKUP(D472,スキル!$C$4:$O$96,2,FALSE)</f>
        <v>様子を見ている</v>
      </c>
      <c r="N472" s="45"/>
      <c r="O472" s="1" t="str">
        <f t="shared" si="9"/>
        <v>INSERT INTO m_my_skills VALUES ('myskill0468','monster078','skill056',FALSE);</v>
      </c>
    </row>
    <row r="473" spans="2:15">
      <c r="B473" s="44" t="s">
        <v>980</v>
      </c>
      <c r="C473" s="21" t="s">
        <v>498</v>
      </c>
      <c r="D473" s="21" t="s">
        <v>1040</v>
      </c>
      <c r="E473" s="21" t="b">
        <v>0</v>
      </c>
      <c r="G473" s="21" t="str">
        <f>VLOOKUP(C473,モンスター!$B$6:$H$100,2,FALSE)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m_my_skills VALUES ('myskill0469','monster078','skill048',FALSE);</v>
      </c>
    </row>
    <row r="474" spans="2:15">
      <c r="B474" s="44" t="s">
        <v>981</v>
      </c>
      <c r="C474" s="21" t="s">
        <v>499</v>
      </c>
      <c r="D474" s="21" t="s">
        <v>1036</v>
      </c>
      <c r="E474" s="21" t="b">
        <v>0</v>
      </c>
      <c r="G474" s="21" t="str">
        <f>VLOOKUP(C474,モンスター!$B$6:$H$100,2,FALSE)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m_my_skills VALUES ('myskill0470','monster079','skill034',FALSE);</v>
      </c>
    </row>
    <row r="475" spans="2:15">
      <c r="B475" s="44" t="s">
        <v>982</v>
      </c>
      <c r="C475" s="21" t="s">
        <v>499</v>
      </c>
      <c r="D475" s="21" t="s">
        <v>1057</v>
      </c>
      <c r="E475" s="21" t="b">
        <v>0</v>
      </c>
      <c r="G475" s="21" t="str">
        <f>VLOOKUP(C475,モンスター!$B$6:$H$100,2,FALSE)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m_my_skills VALUES ('myskill0471','monster079','skill038',FALSE);</v>
      </c>
    </row>
    <row r="476" spans="2:15">
      <c r="B476" s="44" t="s">
        <v>983</v>
      </c>
      <c r="C476" s="21" t="s">
        <v>499</v>
      </c>
      <c r="D476" s="21" t="s">
        <v>1051</v>
      </c>
      <c r="E476" s="21" t="b">
        <v>0</v>
      </c>
      <c r="G476" s="21" t="str">
        <f>VLOOKUP(C476,モンスター!$B$6:$H$100,2,FALSE)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m_my_skills VALUES ('myskill0472','monster079','skill040',FALSE);</v>
      </c>
    </row>
    <row r="477" spans="2:15">
      <c r="B477" s="44" t="s">
        <v>984</v>
      </c>
      <c r="C477" s="21" t="s">
        <v>499</v>
      </c>
      <c r="D477" s="21" t="s">
        <v>1038</v>
      </c>
      <c r="E477" s="21" t="b">
        <v>0</v>
      </c>
      <c r="G477" s="21" t="str">
        <f>VLOOKUP(C477,モンスター!$B$6:$H$100,2,FALSE)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m_my_skills VALUES ('myskill0473','monster079','skill004',FALSE);</v>
      </c>
    </row>
    <row r="478" spans="2:15">
      <c r="B478" s="44" t="s">
        <v>985</v>
      </c>
      <c r="C478" s="21" t="s">
        <v>499</v>
      </c>
      <c r="D478" s="21" t="s">
        <v>1060</v>
      </c>
      <c r="E478" s="21" t="b">
        <v>0</v>
      </c>
      <c r="G478" s="21" t="str">
        <f>VLOOKUP(C478,モンスター!$B$6:$H$100,2,FALSE)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m_my_skills VALUES ('myskill0474','monster079','skill008',FALSE);</v>
      </c>
    </row>
    <row r="479" spans="2:15">
      <c r="B479" s="44" t="s">
        <v>986</v>
      </c>
      <c r="C479" s="21" t="s">
        <v>499</v>
      </c>
      <c r="D479" s="21" t="s">
        <v>1023</v>
      </c>
      <c r="E479" s="21" t="b">
        <v>0</v>
      </c>
      <c r="G479" s="21" t="str">
        <f>VLOOKUP(C479,モンスター!$B$6:$H$100,2,FALSE)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様子を見ている</v>
      </c>
      <c r="N479" s="45"/>
      <c r="O479" s="1" t="str">
        <f t="shared" si="9"/>
        <v>INSERT INTO m_my_skills VALUES ('myskill0475','monster079','skill056',FALSE);</v>
      </c>
    </row>
    <row r="480" spans="2:15">
      <c r="B480" s="44" t="s">
        <v>987</v>
      </c>
      <c r="C480" s="21" t="s">
        <v>500</v>
      </c>
      <c r="D480" s="21" t="s">
        <v>1063</v>
      </c>
      <c r="E480" s="21" t="b">
        <v>0</v>
      </c>
      <c r="G480" s="21" t="str">
        <f>VLOOKUP(C480,モンスター!$B$6:$H$100,2,FALSE)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m_my_skills VALUES ('myskill0476','monster080','skill029',FALSE);</v>
      </c>
    </row>
    <row r="481" spans="2:15">
      <c r="B481" s="44" t="s">
        <v>988</v>
      </c>
      <c r="C481" s="21" t="s">
        <v>500</v>
      </c>
      <c r="D481" s="21" t="s">
        <v>1041</v>
      </c>
      <c r="E481" s="21" t="b">
        <v>0</v>
      </c>
      <c r="G481" s="21" t="str">
        <f>VLOOKUP(C481,モンスター!$B$6:$H$100,2,FALSE)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m_my_skills VALUES ('myskill0477','monster080','skill001',FALSE);</v>
      </c>
    </row>
    <row r="482" spans="2:15">
      <c r="B482" s="44" t="s">
        <v>989</v>
      </c>
      <c r="C482" s="21" t="s">
        <v>500</v>
      </c>
      <c r="D482" s="21" t="s">
        <v>1072</v>
      </c>
      <c r="E482" s="21" t="b">
        <v>0</v>
      </c>
      <c r="G482" s="21" t="str">
        <f>VLOOKUP(C482,モンスター!$B$6:$H$100,2,FALSE)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m_my_skills VALUES ('myskill0478','monster080','skill060',FALSE);</v>
      </c>
    </row>
    <row r="483" spans="2:15">
      <c r="B483" s="44" t="s">
        <v>990</v>
      </c>
      <c r="C483" s="21" t="s">
        <v>500</v>
      </c>
      <c r="D483" s="21" t="s">
        <v>1044</v>
      </c>
      <c r="E483" s="21" t="b">
        <v>0</v>
      </c>
      <c r="G483" s="21" t="str">
        <f>VLOOKUP(C483,モンスター!$B$6:$H$100,2,FALSE)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m_my_skills VALUES ('myskill0479','monster080','skill023',FALSE);</v>
      </c>
    </row>
    <row r="484" spans="2:15">
      <c r="B484" s="44" t="s">
        <v>991</v>
      </c>
      <c r="C484" s="21" t="s">
        <v>500</v>
      </c>
      <c r="D484" s="21" t="s">
        <v>1053</v>
      </c>
      <c r="E484" s="21" t="b">
        <v>0</v>
      </c>
      <c r="G484" s="21" t="str">
        <f>VLOOKUP(C484,モンスター!$B$6:$H$100,2,FALSE)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m_my_skills VALUES ('myskill0480','monster080','skill035',FALSE);</v>
      </c>
    </row>
    <row r="485" spans="2:15">
      <c r="B485" s="44" t="s">
        <v>992</v>
      </c>
      <c r="C485" s="21" t="s">
        <v>500</v>
      </c>
      <c r="D485" s="21" t="s">
        <v>1018</v>
      </c>
      <c r="E485" s="21" t="b">
        <v>0</v>
      </c>
      <c r="G485" s="21" t="str">
        <f>VLOOKUP(C485,モンスター!$B$6:$H$100,2,FALSE)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m_my_skills VALUES ('myskill0481','monster080','skill055',FALSE);</v>
      </c>
    </row>
    <row r="486" spans="2:15">
      <c r="B486" s="44" t="s">
        <v>993</v>
      </c>
      <c r="C486" s="21" t="s">
        <v>501</v>
      </c>
      <c r="D486" s="21" t="s">
        <v>1064</v>
      </c>
      <c r="E486" s="21" t="b">
        <v>0</v>
      </c>
      <c r="G486" s="21" t="str">
        <f>VLOOKUP(C486,モンスター!$B$6:$H$100,2,FALSE)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m_my_skills VALUES ('myskill0482','monster081','skill030',FALSE);</v>
      </c>
    </row>
    <row r="487" spans="2:15">
      <c r="B487" s="44" t="s">
        <v>994</v>
      </c>
      <c r="C487" s="21" t="s">
        <v>501</v>
      </c>
      <c r="D487" s="21" t="s">
        <v>1076</v>
      </c>
      <c r="E487" s="21" t="b">
        <v>0</v>
      </c>
      <c r="G487" s="21" t="str">
        <f>VLOOKUP(C487,モンスター!$B$6:$H$100,2,FALSE)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m_my_skills VALUES ('myskill0483','monster081','skill061',FALSE);</v>
      </c>
    </row>
    <row r="488" spans="2:15">
      <c r="B488" s="44" t="s">
        <v>995</v>
      </c>
      <c r="C488" s="21" t="s">
        <v>501</v>
      </c>
      <c r="D488" s="21" t="s">
        <v>1041</v>
      </c>
      <c r="E488" s="21" t="b">
        <v>0</v>
      </c>
      <c r="G488" s="21" t="str">
        <f>VLOOKUP(C488,モンスター!$B$6:$H$100,2,FALSE)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m_my_skills VALUES ('myskill0484','monster081','skill001',FALSE);</v>
      </c>
    </row>
    <row r="489" spans="2:15">
      <c r="B489" s="44" t="s">
        <v>996</v>
      </c>
      <c r="C489" s="21" t="s">
        <v>501</v>
      </c>
      <c r="D489" s="21" t="s">
        <v>1051</v>
      </c>
      <c r="E489" s="21" t="b">
        <v>0</v>
      </c>
      <c r="G489" s="21" t="str">
        <f>VLOOKUP(C489,モンスター!$B$6:$H$100,2,FALSE)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m_my_skills VALUES ('myskill0485','monster081','skill040',FALSE);</v>
      </c>
    </row>
    <row r="490" spans="2:15">
      <c r="B490" s="44" t="s">
        <v>997</v>
      </c>
      <c r="C490" s="21" t="s">
        <v>501</v>
      </c>
      <c r="D490" s="21" t="s">
        <v>1054</v>
      </c>
      <c r="E490" s="21" t="b">
        <v>0</v>
      </c>
      <c r="G490" s="21" t="str">
        <f>VLOOKUP(C490,モンスター!$B$6:$H$100,2,FALSE)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m_my_skills VALUES ('myskill0486','monster081','skill044',FALSE);</v>
      </c>
    </row>
    <row r="491" spans="2:15">
      <c r="B491" s="44" t="s">
        <v>998</v>
      </c>
      <c r="C491" s="21" t="s">
        <v>501</v>
      </c>
      <c r="D491" s="21" t="s">
        <v>1018</v>
      </c>
      <c r="E491" s="21" t="b">
        <v>0</v>
      </c>
      <c r="G491" s="21" t="str">
        <f>VLOOKUP(C491,モンスター!$B$6:$H$100,2,FALSE)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m_my_skills VALUES ('myskill0487','monster081','skill055',FALSE);</v>
      </c>
    </row>
    <row r="492" spans="2:15">
      <c r="B492" s="44" t="s">
        <v>999</v>
      </c>
      <c r="C492" s="21" t="s">
        <v>502</v>
      </c>
      <c r="D492" s="21" t="s">
        <v>1059</v>
      </c>
      <c r="E492" s="21" t="b">
        <v>0</v>
      </c>
      <c r="G492" s="21" t="str">
        <f>VLOOKUP(C492,モンスター!$B$6:$H$100,2,FALSE)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m_my_skills VALUES ('myskill0488','monster082','skill046',FALSE);</v>
      </c>
    </row>
    <row r="493" spans="2:15">
      <c r="B493" s="44" t="s">
        <v>1000</v>
      </c>
      <c r="C493" s="21" t="s">
        <v>502</v>
      </c>
      <c r="D493" s="21" t="s">
        <v>1036</v>
      </c>
      <c r="E493" s="21" t="b">
        <v>0</v>
      </c>
      <c r="G493" s="21" t="str">
        <f>VLOOKUP(C493,モンスター!$B$6:$H$100,2,FALSE)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m_my_skills VALUES ('myskill0489','monster082','skill034',FALSE);</v>
      </c>
    </row>
    <row r="494" spans="2:15">
      <c r="B494" s="44" t="s">
        <v>1001</v>
      </c>
      <c r="C494" s="21" t="s">
        <v>502</v>
      </c>
      <c r="D494" s="21" t="s">
        <v>1068</v>
      </c>
      <c r="E494" s="21" t="b">
        <v>0</v>
      </c>
      <c r="G494" s="21" t="str">
        <f>VLOOKUP(C494,モンスター!$B$6:$H$100,2,FALSE)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m_my_skills VALUES ('myskill0490','monster082','skill037',FALSE);</v>
      </c>
    </row>
    <row r="495" spans="2:15">
      <c r="B495" s="44" t="s">
        <v>1002</v>
      </c>
      <c r="C495" s="21" t="s">
        <v>502</v>
      </c>
      <c r="D495" s="21" t="s">
        <v>1035</v>
      </c>
      <c r="E495" s="21" t="b">
        <v>0</v>
      </c>
      <c r="G495" s="21" t="str">
        <f>VLOOKUP(C495,モンスター!$B$6:$H$100,2,FALSE)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m_my_skills VALUES ('myskill0491','monster082','skill057',FALSE);</v>
      </c>
    </row>
    <row r="496" spans="2:15">
      <c r="B496" s="44" t="s">
        <v>1003</v>
      </c>
      <c r="C496" s="21" t="s">
        <v>502</v>
      </c>
      <c r="D496" s="21" t="s">
        <v>1072</v>
      </c>
      <c r="E496" s="21" t="b">
        <v>0</v>
      </c>
      <c r="G496" s="21" t="str">
        <f>VLOOKUP(C496,モンスター!$B$6:$H$100,2,FALSE)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m_my_skills VALUES ('myskill0492','monster082','skill060',FALSE);</v>
      </c>
    </row>
    <row r="497" spans="1:21">
      <c r="B497" s="44" t="s">
        <v>1004</v>
      </c>
      <c r="C497" s="21" t="s">
        <v>502</v>
      </c>
      <c r="D497" s="21" t="s">
        <v>1030</v>
      </c>
      <c r="E497" s="21" t="b">
        <v>0</v>
      </c>
      <c r="G497" s="21" t="str">
        <f>VLOOKUP(C497,モンスター!$B$6:$H$100,2,FALSE)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m_my_skills VALUES ('myskill0493','monster082','skill007',FALSE);</v>
      </c>
    </row>
    <row r="498" spans="1:21">
      <c r="B498" s="44" t="s">
        <v>1005</v>
      </c>
      <c r="C498" s="21" t="s">
        <v>503</v>
      </c>
      <c r="D498" s="21" t="s">
        <v>1045</v>
      </c>
      <c r="E498" s="21" t="b">
        <v>0</v>
      </c>
      <c r="G498" s="21" t="str">
        <f>VLOOKUP(C498,モンスター!$B$6:$H$100,2,FALSE)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m_my_skills VALUES ('myskill0494','monster083','skill018',FALSE);</v>
      </c>
    </row>
    <row r="499" spans="1:21">
      <c r="B499" s="44" t="s">
        <v>1006</v>
      </c>
      <c r="C499" s="21" t="s">
        <v>503</v>
      </c>
      <c r="D499" s="21" t="s">
        <v>1055</v>
      </c>
      <c r="E499" s="21" t="b">
        <v>0</v>
      </c>
      <c r="G499" s="21" t="str">
        <f>VLOOKUP(C499,モンスター!$B$6:$H$100,2,FALSE)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m_my_skills VALUES ('myskill0495','monster083','skill019',FALSE);</v>
      </c>
    </row>
    <row r="500" spans="1:21">
      <c r="B500" s="44" t="s">
        <v>1007</v>
      </c>
      <c r="C500" s="21" t="s">
        <v>503</v>
      </c>
      <c r="D500" s="21" t="s">
        <v>1076</v>
      </c>
      <c r="E500" s="21" t="b">
        <v>0</v>
      </c>
      <c r="G500" s="21" t="str">
        <f>VLOOKUP(C500,モンスター!$B$6:$H$100,2,FALSE)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m_my_skills VALUES ('myskill0496','monster083','skill061',FALSE);</v>
      </c>
    </row>
    <row r="501" spans="1:21">
      <c r="B501" s="44" t="s">
        <v>1008</v>
      </c>
      <c r="C501" s="21" t="s">
        <v>503</v>
      </c>
      <c r="D501" s="21" t="s">
        <v>1018</v>
      </c>
      <c r="E501" s="21" t="b">
        <v>0</v>
      </c>
      <c r="G501" s="21" t="str">
        <f>VLOOKUP(C501,モンスター!$B$6:$H$100,2,FALSE)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m_my_skills VALUES ('myskill0497','monster083','skill055',FALSE);</v>
      </c>
    </row>
    <row r="502" spans="1:21">
      <c r="B502" s="44" t="s">
        <v>1009</v>
      </c>
      <c r="C502" s="21" t="s">
        <v>503</v>
      </c>
      <c r="D502" s="21" t="s">
        <v>1018</v>
      </c>
      <c r="E502" s="21" t="b">
        <v>0</v>
      </c>
      <c r="G502" s="21" t="str">
        <f>VLOOKUP(C502,モンスター!$B$6:$H$100,2,FALSE)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m_my_skills VALUES ('myskill0498','monster083','skill055',FALSE);</v>
      </c>
    </row>
    <row r="503" spans="1:21">
      <c r="B503" s="44" t="s">
        <v>1010</v>
      </c>
      <c r="C503" s="21" t="s">
        <v>503</v>
      </c>
      <c r="D503" s="21" t="s">
        <v>1018</v>
      </c>
      <c r="E503" s="21" t="b">
        <v>0</v>
      </c>
      <c r="G503" s="21" t="str">
        <f>VLOOKUP(C503,モンスター!$B$6:$H$100,2,FALSE)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ミスをした</v>
      </c>
      <c r="N503" s="45"/>
      <c r="O503" s="1" t="str">
        <f t="shared" si="9"/>
        <v>INSERT INTO m_my_skills VALUES ('myskill0499','monster083','skill055',FALSE);</v>
      </c>
    </row>
    <row r="504" spans="1:21">
      <c r="B504" s="44" t="s">
        <v>1011</v>
      </c>
      <c r="C504" s="21" t="s">
        <v>504</v>
      </c>
      <c r="D504" s="21" t="s">
        <v>1055</v>
      </c>
      <c r="E504" s="21" t="b">
        <v>0</v>
      </c>
      <c r="G504" s="21" t="str">
        <f>VLOOKUP(C504,モンスター!$B$6:$H$100,2,FALSE)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m_my_skills VALUES ('myskill0500','monster084','skill019',FALSE);</v>
      </c>
    </row>
    <row r="505" spans="1:21">
      <c r="B505" s="44" t="s">
        <v>1012</v>
      </c>
      <c r="C505" s="21" t="s">
        <v>504</v>
      </c>
      <c r="D505" s="21" t="s">
        <v>1055</v>
      </c>
      <c r="E505" s="21" t="b">
        <v>0</v>
      </c>
      <c r="G505" s="21" t="str">
        <f>VLOOKUP(C505,モンスター!$B$6:$H$100,2,FALSE)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m_my_skills VALUES ('myskill0501','monster084','skill019',FALSE);</v>
      </c>
    </row>
    <row r="506" spans="1:21">
      <c r="B506" s="44" t="s">
        <v>1013</v>
      </c>
      <c r="C506" s="21" t="s">
        <v>504</v>
      </c>
      <c r="D506" s="21" t="s">
        <v>1060</v>
      </c>
      <c r="E506" s="21" t="b">
        <v>0</v>
      </c>
      <c r="G506" s="21" t="str">
        <f>VLOOKUP(C506,モンスター!$B$6:$H$100,2,FALSE)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m_my_skills VALUES ('myskill0502','monster084','skill008',FALSE);</v>
      </c>
    </row>
    <row r="507" spans="1:21">
      <c r="B507" s="44" t="s">
        <v>1014</v>
      </c>
      <c r="C507" s="21" t="s">
        <v>504</v>
      </c>
      <c r="D507" s="21" t="s">
        <v>1018</v>
      </c>
      <c r="E507" s="21" t="b">
        <v>0</v>
      </c>
      <c r="G507" s="21" t="str">
        <f>VLOOKUP(C507,モンスター!$B$6:$H$100,2,FALSE)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m_my_skills VALUES ('myskill0503','monster084','skill055',FALSE);</v>
      </c>
    </row>
    <row r="508" spans="1:21">
      <c r="B508" s="44" t="s">
        <v>1015</v>
      </c>
      <c r="C508" s="21" t="s">
        <v>504</v>
      </c>
      <c r="D508" s="21" t="s">
        <v>1018</v>
      </c>
      <c r="E508" s="21" t="b">
        <v>0</v>
      </c>
      <c r="G508" s="21" t="str">
        <f>VLOOKUP(C508,モンスター!$B$6:$H$100,2,FALSE)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m_my_skills VALUES ('myskill0504','monster084','skill055',FALSE);</v>
      </c>
    </row>
    <row r="509" spans="1:21">
      <c r="B509" s="44" t="s">
        <v>1016</v>
      </c>
      <c r="C509" s="21" t="s">
        <v>504</v>
      </c>
      <c r="D509" s="21" t="s">
        <v>1018</v>
      </c>
      <c r="E509" s="21" t="b">
        <v>0</v>
      </c>
      <c r="G509" s="21" t="str">
        <f>VLOOKUP(C509,モンスター!$B$6:$H$100,2,FALSE)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ミスをした</v>
      </c>
      <c r="N509" s="45"/>
      <c r="O509" s="1" t="str">
        <f t="shared" si="9"/>
        <v>INSERT INTO m_my_skills VALUES ('myskill0505','monster084','skill055',FALSE);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D46" sqref="D46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328</v>
      </c>
    </row>
    <row r="2" spans="1:8">
      <c r="A2" s="5" t="s">
        <v>327</v>
      </c>
      <c r="B2" s="5" t="s">
        <v>302</v>
      </c>
      <c r="C2" s="5" t="s">
        <v>303</v>
      </c>
      <c r="D2" s="5" t="s">
        <v>304</v>
      </c>
      <c r="E2" s="5" t="s">
        <v>305</v>
      </c>
      <c r="F2" s="5" t="s">
        <v>306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300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301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329</v>
      </c>
      <c r="E15" s="5" t="s">
        <v>327</v>
      </c>
    </row>
    <row r="16" spans="1:8">
      <c r="B16" s="5" t="s">
        <v>334</v>
      </c>
      <c r="C16" s="5" t="s">
        <v>335</v>
      </c>
      <c r="G16" s="5" t="s">
        <v>330</v>
      </c>
      <c r="H16" s="5" t="s">
        <v>331</v>
      </c>
    </row>
    <row r="17" spans="1:9">
      <c r="B17" s="5" t="s">
        <v>336</v>
      </c>
      <c r="G17" s="5" t="s">
        <v>332</v>
      </c>
      <c r="H17" s="5" t="s">
        <v>333</v>
      </c>
    </row>
    <row r="22" spans="1:9">
      <c r="A22" s="5" t="s">
        <v>326</v>
      </c>
    </row>
    <row r="23" spans="1:9">
      <c r="B23" s="35" t="s">
        <v>316</v>
      </c>
      <c r="C23" s="35" t="s">
        <v>317</v>
      </c>
      <c r="D23" s="35" t="s">
        <v>318</v>
      </c>
      <c r="E23" s="35" t="s">
        <v>319</v>
      </c>
      <c r="G23" s="37" t="s">
        <v>307</v>
      </c>
      <c r="H23" s="8"/>
      <c r="I23" s="38"/>
    </row>
    <row r="24" spans="1:9">
      <c r="B24" s="35" t="s">
        <v>320</v>
      </c>
      <c r="C24" s="35">
        <v>1</v>
      </c>
      <c r="D24" s="35">
        <v>1</v>
      </c>
      <c r="E24" s="36">
        <v>1</v>
      </c>
      <c r="G24" s="35">
        <v>1</v>
      </c>
      <c r="H24" s="35" t="s">
        <v>309</v>
      </c>
      <c r="I24" s="35"/>
    </row>
    <row r="25" spans="1:9">
      <c r="B25" s="35" t="s">
        <v>321</v>
      </c>
      <c r="C25" s="35">
        <v>5</v>
      </c>
      <c r="D25" s="35">
        <v>50</v>
      </c>
      <c r="E25" s="36">
        <v>0.1</v>
      </c>
      <c r="G25" s="35">
        <v>2</v>
      </c>
      <c r="H25" s="35" t="s">
        <v>310</v>
      </c>
      <c r="I25" s="35" t="s">
        <v>312</v>
      </c>
    </row>
    <row r="26" spans="1:9">
      <c r="B26" s="35" t="s">
        <v>322</v>
      </c>
      <c r="C26" s="35">
        <v>3</v>
      </c>
      <c r="D26" s="35">
        <v>4</v>
      </c>
      <c r="E26" s="36">
        <v>0.75</v>
      </c>
      <c r="G26" s="37" t="s">
        <v>307</v>
      </c>
      <c r="H26" s="8"/>
      <c r="I26" s="38"/>
    </row>
    <row r="27" spans="1:9">
      <c r="B27" s="35" t="s">
        <v>323</v>
      </c>
      <c r="C27" s="35">
        <v>0</v>
      </c>
      <c r="D27" s="35">
        <v>2</v>
      </c>
      <c r="E27" s="36">
        <v>0</v>
      </c>
      <c r="G27" s="35">
        <v>1</v>
      </c>
      <c r="H27" s="35" t="s">
        <v>311</v>
      </c>
      <c r="I27" s="35"/>
    </row>
    <row r="28" spans="1:9">
      <c r="B28" s="35" t="s">
        <v>324</v>
      </c>
      <c r="C28" s="35">
        <v>0</v>
      </c>
      <c r="D28" s="35">
        <v>0</v>
      </c>
      <c r="E28" s="35" t="s">
        <v>325</v>
      </c>
      <c r="G28" s="35">
        <v>2</v>
      </c>
      <c r="H28" s="35" t="s">
        <v>313</v>
      </c>
      <c r="I28" s="35"/>
    </row>
    <row r="29" spans="1:9">
      <c r="B29" s="35" t="s">
        <v>308</v>
      </c>
      <c r="C29" s="35"/>
      <c r="D29" s="35"/>
      <c r="E29" s="35"/>
      <c r="G29" s="35">
        <v>3</v>
      </c>
      <c r="H29" s="35" t="s">
        <v>314</v>
      </c>
      <c r="I29" s="35" t="s">
        <v>312</v>
      </c>
    </row>
    <row r="30" spans="1:9">
      <c r="G30" s="35">
        <v>4</v>
      </c>
      <c r="H30" s="35" t="s">
        <v>315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6" sqref="H6"/>
    </sheetView>
  </sheetViews>
  <sheetFormatPr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1100</v>
      </c>
      <c r="F4" s="1" t="s">
        <v>1113</v>
      </c>
    </row>
    <row r="5" spans="1:8">
      <c r="A5" s="1" t="s">
        <v>1105</v>
      </c>
      <c r="B5" s="1" t="s">
        <v>1101</v>
      </c>
      <c r="G5" s="1" t="s">
        <v>1105</v>
      </c>
      <c r="H5" s="1" t="s">
        <v>1114</v>
      </c>
    </row>
    <row r="6" spans="1:8">
      <c r="A6" s="1" t="s">
        <v>1106</v>
      </c>
      <c r="B6" s="1" t="s">
        <v>1109</v>
      </c>
      <c r="G6" s="1" t="s">
        <v>1106</v>
      </c>
      <c r="H6" s="1" t="s">
        <v>1115</v>
      </c>
    </row>
    <row r="7" spans="1:8">
      <c r="A7" s="1" t="s">
        <v>1107</v>
      </c>
      <c r="B7" s="1" t="s">
        <v>1102</v>
      </c>
      <c r="G7" s="1" t="s">
        <v>1107</v>
      </c>
      <c r="H7" s="1" t="s">
        <v>1116</v>
      </c>
    </row>
    <row r="8" spans="1:8">
      <c r="A8" s="1" t="s">
        <v>1108</v>
      </c>
      <c r="B8" s="1" t="s">
        <v>1103</v>
      </c>
      <c r="G8" s="1" t="s">
        <v>1108</v>
      </c>
      <c r="H8" s="1" t="s">
        <v>1117</v>
      </c>
    </row>
    <row r="9" spans="1:8">
      <c r="A9" s="1" t="s">
        <v>1110</v>
      </c>
      <c r="B9" s="1" t="s">
        <v>1104</v>
      </c>
      <c r="G9" s="1" t="s">
        <v>1110</v>
      </c>
      <c r="H9" s="1" t="s">
        <v>1118</v>
      </c>
    </row>
    <row r="12" spans="1:8">
      <c r="B12" s="1" t="s">
        <v>1111</v>
      </c>
    </row>
    <row r="13" spans="1:8">
      <c r="B13" s="1" t="s">
        <v>1112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2025-01-09T15:17:31Z</dcterms:modified>
</cp:coreProperties>
</file>