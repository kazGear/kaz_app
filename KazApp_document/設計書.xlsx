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FD5A7A2E-7F06-40FD-89FE-7160D83A33C7}" xr6:coauthVersionLast="47" xr6:coauthVersionMax="47" xr10:uidLastSave="{00000000-0000-0000-0000-000000000000}"/>
  <bookViews>
    <workbookView xWindow="-120" yWindow="-120" windowWidth="29040" windowHeight="15720" activeTab="3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9" i="3" l="1"/>
  <c r="Q81" i="3"/>
  <c r="Q80" i="3"/>
  <c r="Q79" i="3"/>
  <c r="Q78" i="3"/>
  <c r="Q77" i="3"/>
  <c r="Q76" i="3"/>
  <c r="Q75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91" i="5"/>
  <c r="K90" i="5"/>
  <c r="K89" i="5"/>
  <c r="K87" i="5"/>
  <c r="K86" i="5"/>
  <c r="K85" i="5"/>
  <c r="K84" i="5"/>
  <c r="K83" i="5"/>
  <c r="K82" i="5"/>
  <c r="K81" i="5"/>
  <c r="K49" i="5"/>
  <c r="K48" i="5"/>
  <c r="K45" i="5"/>
  <c r="K44" i="5"/>
  <c r="K35" i="5"/>
  <c r="K34" i="5"/>
  <c r="K24" i="5"/>
  <c r="K13" i="5"/>
  <c r="K7" i="5"/>
  <c r="K6" i="5"/>
  <c r="K5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E49" i="5"/>
  <c r="E45" i="5"/>
  <c r="E35" i="5"/>
  <c r="E25" i="5"/>
  <c r="E26" i="5" s="1"/>
  <c r="K26" i="5" s="1"/>
  <c r="E14" i="5"/>
  <c r="K14" i="5" s="1"/>
  <c r="E6" i="5"/>
  <c r="E7" i="5" s="1"/>
  <c r="K25" i="5" l="1"/>
  <c r="E50" i="5"/>
  <c r="K50" i="5" s="1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K36" i="5" s="1"/>
  <c r="E46" i="5"/>
  <c r="K46" i="5" s="1"/>
  <c r="E28" i="5" l="1"/>
  <c r="K28" i="5" s="1"/>
  <c r="E51" i="5"/>
  <c r="K51" i="5" s="1"/>
  <c r="E16" i="5"/>
  <c r="K16" i="5" s="1"/>
  <c r="E37" i="5"/>
  <c r="K37" i="5" s="1"/>
  <c r="E9" i="5"/>
  <c r="K9" i="5" s="1"/>
  <c r="E29" i="5" l="1"/>
  <c r="K29" i="5" s="1"/>
  <c r="E52" i="5"/>
  <c r="K52" i="5" s="1"/>
  <c r="E38" i="5"/>
  <c r="K38" i="5" s="1"/>
  <c r="E17" i="5"/>
  <c r="K17" i="5" s="1"/>
  <c r="E10" i="5"/>
  <c r="K10" i="5" s="1"/>
  <c r="E30" i="5"/>
  <c r="K30" i="5" s="1"/>
  <c r="E39" i="5" l="1"/>
  <c r="K39" i="5" s="1"/>
  <c r="E53" i="5"/>
  <c r="K53" i="5" s="1"/>
  <c r="E18" i="5"/>
  <c r="K18" i="5" s="1"/>
  <c r="E11" i="5"/>
  <c r="K11" i="5" s="1"/>
  <c r="E40" i="5"/>
  <c r="K40" i="5" s="1"/>
  <c r="E31" i="5"/>
  <c r="K31" i="5" s="1"/>
  <c r="E54" i="5" l="1"/>
  <c r="K54" i="5" s="1"/>
  <c r="E19" i="5"/>
  <c r="K19" i="5" s="1"/>
  <c r="E41" i="5"/>
  <c r="K41" i="5" s="1"/>
  <c r="E32" i="5"/>
  <c r="K32" i="5" s="1"/>
  <c r="E55" i="5" l="1"/>
  <c r="K55" i="5" s="1"/>
  <c r="E20" i="5"/>
  <c r="K20" i="5" s="1"/>
  <c r="E42" i="5"/>
  <c r="K42" i="5" s="1"/>
  <c r="E56" i="5" l="1"/>
  <c r="K56" i="5" s="1"/>
  <c r="E21" i="5"/>
  <c r="K21" i="5" s="1"/>
  <c r="E22" i="5" l="1"/>
  <c r="K22" i="5" s="1"/>
  <c r="E57" i="5"/>
  <c r="K57" i="5" s="1"/>
  <c r="E58" i="5" l="1"/>
  <c r="K58" i="5" s="1"/>
  <c r="E59" i="5" l="1"/>
  <c r="K59" i="5" s="1"/>
  <c r="E60" i="5" l="1"/>
  <c r="K60" i="5" s="1"/>
  <c r="E61" i="5" l="1"/>
  <c r="K61" i="5" s="1"/>
  <c r="E62" i="5" l="1"/>
  <c r="K62" i="5" s="1"/>
  <c r="L62" i="6"/>
  <c r="E63" i="5" l="1"/>
  <c r="K63" i="5" s="1"/>
  <c r="L63" i="6"/>
  <c r="E64" i="5" l="1"/>
  <c r="K64" i="5" s="1"/>
  <c r="L64" i="6"/>
  <c r="E65" i="5" l="1"/>
  <c r="K65" i="5" s="1"/>
  <c r="L65" i="6"/>
  <c r="E66" i="5" l="1"/>
  <c r="K66" i="5" s="1"/>
  <c r="L66" i="6"/>
  <c r="E67" i="5" l="1"/>
  <c r="K67" i="5" s="1"/>
  <c r="L67" i="6"/>
  <c r="E68" i="5" l="1"/>
  <c r="K68" i="5" s="1"/>
  <c r="L68" i="6"/>
  <c r="E69" i="5" l="1"/>
  <c r="K69" i="5" s="1"/>
  <c r="L69" i="6"/>
  <c r="E70" i="5" l="1"/>
  <c r="K70" i="5" s="1"/>
  <c r="L70" i="6"/>
  <c r="E71" i="5" l="1"/>
  <c r="K71" i="5" s="1"/>
  <c r="L71" i="6"/>
  <c r="E72" i="5" l="1"/>
  <c r="K72" i="5" s="1"/>
  <c r="L72" i="6"/>
  <c r="E73" i="5" l="1"/>
  <c r="K73" i="5" s="1"/>
  <c r="L73" i="6"/>
  <c r="E74" i="5" l="1"/>
  <c r="K74" i="5" s="1"/>
  <c r="E75" i="5" l="1"/>
  <c r="K75" i="5" s="1"/>
  <c r="E76" i="5" l="1"/>
  <c r="K76" i="5" s="1"/>
  <c r="E77" i="5" l="1"/>
  <c r="K77" i="5" s="1"/>
  <c r="E78" i="5" l="1"/>
  <c r="K78" i="5" s="1"/>
  <c r="E79" i="5" l="1"/>
  <c r="K79" i="5" s="1"/>
  <c r="L30" i="6" l="1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<sst xmlns="http://schemas.openxmlformats.org/spreadsheetml/2006/main" count="3062" uniqueCount="1171">
  <si>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</si>
  <si>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</si>
  <si>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</si>
  <si>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</si>
  <si>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</si>
  <si>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</si>
  <si>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</si>
  <si>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</si>
  <si>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</si>
  <si>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</si>
  <si>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</si>
  <si>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</si>
  <si>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</si>
  <si>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</si>
  <si>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</si>
  <si>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</si>
  <si>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</si>
  <si>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</si>
  <si>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</si>
  <si>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</si>
  <si>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</si>
  <si>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</si>
  <si>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</si>
  <si>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</si>
  <si>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</si>
  <si>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</si>
  <si>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</si>
  <si>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</si>
  <si>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</si>
  <si>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</si>
  <si>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</si>
  <si>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</si>
  <si>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</si>
  <si>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</si>
  <si>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</si>
  <si>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</si>
  <si>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</si>
  <si>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</si>
  <si>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</si>
  <si>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</si>
  <si>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</si>
  <si>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</si>
  <si>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</si>
  <si>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</si>
  <si>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</si>
  <si>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</si>
  <si>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</si>
  <si>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</si>
  <si>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</si>
  <si>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</si>
  <si>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</si>
  <si>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</si>
  <si>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</si>
  <si>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</si>
  <si>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</si>
  <si>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</si>
  <si>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</si>
  <si>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</si>
  <si>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</si>
  <si>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</si>
  <si>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</si>
  <si>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</si>
  <si>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</si>
  <si>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</si>
  <si>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</si>
  <si>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</si>
  <si>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</si>
  <si>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</si>
  <si>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</si>
  <si>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</si>
  <si>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</si>
  <si>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</si>
  <si>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</si>
  <si>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</si>
  <si>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</si>
  <si>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</si>
  <si>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</si>
  <si>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</si>
  <si>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</si>
  <si>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</si>
  <si>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</si>
  <si>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</si>
  <si>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</si>
  <si>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</si>
  <si>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</si>
  <si>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</si>
  <si>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</si>
  <si>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</si>
  <si>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</si>
  <si>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</si>
  <si>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</si>
  <si>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</si>
  <si>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</si>
  <si>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</si>
  <si>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</si>
  <si>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</si>
  <si>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</si>
  <si>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</si>
  <si>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</si>
  <si>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</si>
  <si>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</si>
  <si>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</si>
  <si>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</si>
  <si>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</si>
  <si>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</si>
  <si>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</si>
  <si>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</si>
  <si>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</si>
  <si>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</si>
  <si>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</si>
  <si>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</si>
  <si>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</si>
  <si>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</si>
  <si>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</si>
  <si>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</si>
  <si>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</si>
  <si>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</si>
  <si>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</si>
  <si>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</si>
  <si>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</si>
  <si>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</si>
  <si>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</si>
  <si>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</si>
  <si>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</si>
  <si>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</si>
  <si>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</si>
  <si>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</si>
  <si>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</si>
  <si>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</si>
  <si>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</si>
  <si>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</si>
  <si>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</si>
  <si>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</si>
  <si>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</si>
  <si>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</si>
  <si>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</si>
  <si>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</si>
  <si>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</si>
  <si>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</si>
  <si>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</si>
  <si>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</si>
  <si>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</si>
  <si>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</si>
  <si>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</si>
  <si>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</si>
  <si>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</si>
  <si>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</si>
  <si>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</si>
  <si>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</si>
  <si>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</si>
  <si>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</si>
  <si>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</si>
  <si>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</si>
  <si>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</si>
  <si>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</si>
  <si>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</si>
  <si>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</si>
  <si>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</si>
  <si>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</si>
  <si>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</si>
  <si>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</si>
  <si>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</si>
  <si>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</si>
  <si>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</si>
  <si>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</si>
  <si>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</si>
  <si>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</si>
  <si>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</si>
  <si>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</si>
  <si>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</si>
  <si>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</si>
  <si>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</si>
  <si>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</si>
  <si>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</si>
  <si>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</si>
  <si>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</si>
  <si>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</si>
  <si>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</si>
  <si>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</si>
  <si>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</si>
  <si>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</si>
  <si>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</si>
  <si>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</si>
  <si>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</si>
  <si>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</si>
  <si>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</si>
  <si>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</si>
  <si>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</si>
  <si>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</si>
  <si>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</si>
  <si>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</si>
  <si>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</si>
  <si>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</si>
  <si>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</si>
  <si>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</si>
  <si>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</si>
  <si>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</si>
  <si>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</si>
  <si>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</si>
  <si>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</si>
  <si>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</si>
  <si>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</si>
  <si>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</si>
  <si>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</si>
  <si>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</si>
  <si>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</si>
  <si>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</si>
  <si>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</si>
  <si>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</si>
  <si>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</si>
  <si>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</si>
  <si>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</si>
  <si>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</si>
  <si>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</si>
  <si>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</si>
  <si>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</si>
  <si>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</si>
  <si>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</si>
  <si>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</si>
  <si>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</si>
  <si>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</si>
  <si>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</si>
  <si>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</si>
  <si>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</si>
  <si>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</si>
  <si>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</si>
  <si>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</si>
  <si>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</si>
  <si>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</si>
  <si>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</si>
  <si>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</si>
  <si>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</si>
  <si>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</si>
  <si>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</si>
  <si>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</si>
  <si>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</si>
  <si>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</si>
  <si>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</si>
  <si>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</si>
  <si>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</si>
  <si>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</si>
  <si>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</si>
  <si>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</si>
  <si>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</si>
  <si>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</si>
  <si>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</si>
  <si>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</si>
  <si>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</si>
  <si>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</si>
  <si>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</si>
  <si>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</si>
  <si>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</si>
  <si>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</si>
  <si>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</si>
  <si>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</si>
  <si>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</si>
  <si>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</si>
  <si>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</si>
  <si>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</si>
  <si>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</si>
  <si>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</si>
  <si>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</si>
  <si>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</si>
  <si>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</si>
  <si>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</si>
  <si>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</si>
  <si>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</si>
  <si>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</si>
  <si>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</si>
  <si>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</si>
  <si>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</si>
  <si>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</si>
  <si>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</si>
  <si>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</si>
  <si>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</si>
  <si>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</si>
  <si>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</si>
  <si>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</si>
  <si>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</si>
  <si>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</si>
  <si>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</si>
  <si>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</si>
  <si>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</si>
  <si>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</si>
  <si>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</si>
  <si>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</si>
  <si>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</si>
  <si>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</si>
  <si>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</si>
  <si>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</si>
  <si>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</si>
  <si>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</si>
  <si>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</si>
  <si>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</si>
  <si>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</si>
  <si>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</si>
  <si>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</si>
  <si>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</si>
  <si>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</si>
  <si>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</si>
  <si>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</si>
  <si>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</si>
  <si>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</si>
  <si>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</si>
  <si>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</si>
  <si>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</si>
  <si>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</si>
  <si>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</si>
  <si>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</si>
  <si>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</si>
  <si>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</si>
  <si>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</si>
  <si>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</si>
  <si>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</si>
  <si>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</si>
  <si>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</si>
  <si>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</si>
  <si>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</si>
  <si>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</si>
  <si>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</si>
  <si>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</si>
  <si>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</si>
  <si>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</si>
  <si>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</si>
  <si>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</si>
  <si>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</si>
  <si>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</si>
  <si>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</si>
  <si>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</si>
  <si>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</si>
  <si>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</si>
  <si>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</si>
  <si>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</si>
  <si>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</si>
  <si>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</si>
  <si>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</si>
  <si>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</si>
  <si>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</si>
  <si>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</si>
  <si>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</si>
  <si>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</si>
  <si>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</si>
  <si>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</si>
  <si>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</si>
  <si>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</si>
  <si>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</si>
  <si>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</si>
  <si>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</si>
  <si>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</si>
  <si>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</si>
  <si>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</si>
  <si>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</si>
  <si>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</si>
  <si>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</si>
  <si>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</si>
  <si>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</si>
  <si>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</si>
  <si>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</si>
  <si>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</si>
  <si>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</si>
  <si>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</si>
  <si>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</si>
  <si>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</si>
  <si>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</si>
  <si>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</si>
  <si>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</si>
  <si>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</si>
  <si>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</si>
  <si>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</si>
  <si>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</si>
  <si>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</si>
  <si>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</si>
  <si>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</si>
  <si>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</si>
  <si>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</si>
  <si>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</si>
  <si>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</si>
  <si>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</si>
  <si>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</si>
  <si>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</si>
  <si>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</si>
  <si>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</si>
  <si>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</si>
  <si>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</si>
  <si>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</si>
  <si>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</si>
  <si>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</si>
  <si>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</si>
  <si>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</si>
  <si>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</si>
  <si>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</si>
  <si>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</si>
  <si>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</si>
  <si>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</si>
  <si>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</si>
  <si>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</si>
  <si>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</si>
  <si>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</si>
  <si>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</si>
  <si>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</si>
  <si>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</si>
  <si>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</si>
  <si>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</si>
  <si>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</si>
  <si>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</si>
  <si>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</si>
  <si>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</si>
  <si>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</si>
  <si>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</si>
  <si>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</si>
  <si>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</si>
  <si>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</si>
  <si>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</si>
  <si>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</si>
  <si>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</si>
  <si>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</si>
  <si>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</si>
  <si>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</si>
  <si>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</si>
  <si>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</si>
  <si>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</si>
  <si>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</si>
  <si>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</si>
  <si>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</si>
  <si>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</si>
  <si>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</si>
  <si>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</si>
  <si>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</si>
  <si>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</si>
  <si>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</si>
  <si>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</si>
  <si>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</si>
  <si>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</si>
  <si>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</si>
  <si>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</si>
  <si>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</si>
  <si>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</si>
  <si>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</si>
  <si>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</si>
  <si>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</si>
  <si>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</si>
  <si>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</si>
  <si>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</si>
  <si>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</si>
  <si>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</si>
  <si>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</si>
  <si>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</si>
  <si>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</si>
  <si>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</si>
  <si>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</si>
  <si>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</si>
  <si>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</si>
  <si>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</si>
  <si>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</si>
  <si>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</si>
  <si>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</si>
  <si>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</si>
  <si>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</si>
  <si>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</si>
  <si>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</si>
  <si>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</si>
  <si>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</si>
  <si>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</si>
  <si>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</si>
  <si>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</si>
  <si>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</si>
  <si>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</si>
  <si>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</si>
  <si>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</si>
  <si>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</si>
  <si>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</si>
  <si>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</si>
  <si>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</si>
  <si>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</si>
  <si>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</si>
  <si>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</si>
  <si>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</si>
  <si>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</si>
  <si>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</si>
  <si>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</si>
  <si>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</si>
  <si>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</si>
  <si>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</si>
  <si>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</si>
  <si>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</si>
  <si>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</si>
  <si>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</si>
  <si>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</si>
  <si>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</si>
  <si>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</si>
  <si>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</si>
  <si>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</si>
  <si>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</si>
  <si>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</si>
  <si>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</si>
  <si>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</si>
  <si>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</si>
  <si>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</si>
  <si>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</si>
  <si>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</si>
  <si>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</si>
  <si>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</si>
  <si>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</si>
  <si>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</si>
  <si>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</si>
  <si>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</si>
  <si>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</si>
  <si>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</si>
  <si>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</si>
  <si>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</si>
  <si>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</si>
  <si>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</si>
  <si>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</si>
  <si>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</si>
  <si>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</si>
  <si>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</si>
  <si>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</si>
  <si>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</si>
  <si>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</si>
  <si>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</si>
  <si>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</si>
  <si>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</si>
  <si>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</si>
  <si>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</si>
  <si>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</si>
  <si>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</si>
  <si>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</si>
  <si>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</si>
  <si>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</si>
  <si>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</si>
  <si>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</si>
  <si>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</si>
  <si>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</si>
  <si>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</si>
  <si>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</si>
  <si>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</si>
  <si>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</si>
  <si>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</si>
  <si>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</si>
  <si>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</si>
  <si>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</si>
  <si>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</si>
  <si>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</si>
  <si>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</si>
  <si>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</si>
  <si>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</si>
  <si>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</si>
  <si>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</si>
  <si>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</si>
  <si>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</si>
  <si>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</si>
  <si>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</si>
  <si>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</si>
  <si>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</si>
  <si>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</si>
  <si>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</si>
  <si>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</si>
  <si>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</si>
  <si>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</si>
  <si>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</si>
  <si>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</si>
  <si>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</si>
  <si>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</si>
  <si>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</si>
  <si>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</si>
  <si>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</si>
  <si>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</si>
  <si>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</si>
  <si>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</si>
  <si>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</si>
  <si>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</si>
  <si>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</si>
  <si>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</si>
  <si>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</si>
  <si>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</si>
  <si>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</si>
  <si>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</si>
  <si>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</si>
  <si>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</si>
  <si>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</si>
  <si>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</si>
  <si>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</si>
  <si>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</si>
  <si>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</si>
  <si>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</si>
  <si>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</si>
  <si>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</si>
  <si>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</si>
  <si>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</si>
  <si>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</si>
  <si>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</si>
  <si>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</si>
  <si>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</si>
  <si>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</si>
  <si>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</si>
  <si>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</si>
  <si>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</si>
  <si>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</si>
  <si>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</si>
  <si>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</si>
  <si>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</si>
  <si>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</si>
  <si>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</si>
  <si>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</si>
  <si>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</si>
  <si>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</si>
  <si>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</si>
  <si>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</si>
  <si>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</si>
  <si>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</si>
  <si>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</si>
  <si>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</si>
  <si>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</si>
  <si>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</si>
  <si>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</si>
  <si>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</si>
  <si>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</si>
  <si>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</si>
  <si>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</si>
  <si>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</si>
  <si>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</si>
  <si>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</si>
  <si>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</si>
  <si>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</si>
  <si>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</si>
  <si>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</si>
  <si>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</si>
  <si>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</si>
  <si>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</si>
  <si>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</si>
  <si>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</si>
  <si>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</si>
  <si>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</si>
  <si>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</si>
  <si>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</si>
  <si>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</si>
  <si>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</si>
  <si>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</si>
  <si>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</si>
  <si>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</si>
  <si>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</si>
  <si>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</si>
  <si>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</si>
  <si>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</si>
  <si>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</si>
  <si>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</si>
  <si>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</si>
  <si>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</si>
  <si>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</si>
  <si>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</si>
  <si>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</si>
  <si>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</si>
  <si>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</si>
  <si>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</si>
  <si>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</si>
  <si>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</si>
  <si>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</si>
  <si>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</si>
  <si>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</si>
  <si>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</si>
  <si>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</si>
  <si>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</si>
  <si>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</si>
  <si>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</si>
  <si>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</si>
  <si>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</si>
  <si>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</si>
  <si>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</si>
  <si>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</si>
  <si>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</si>
  <si>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</si>
  <si>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</si>
  <si>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</si>
  <si>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</si>
  <si>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</si>
  <si>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</si>
  <si>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</si>
  <si>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</si>
  <si>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</si>
  <si>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</si>
  <si>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</si>
  <si>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</si>
  <si>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</si>
  <si>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</si>
  <si>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</si>
  <si>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</si>
  <si>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</si>
  <si>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</si>
  <si>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</si>
  <si>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</si>
  <si>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</si>
  <si>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</si>
  <si>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</si>
  <si>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</si>
  <si>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</si>
  <si>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</si>
  <si>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</si>
  <si>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</si>
  <si>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</si>
  <si>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</si>
  <si>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</si>
  <si>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</si>
  <si>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</si>
  <si>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</si>
  <si>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</si>
  <si>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</si>
  <si>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</si>
  <si>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</si>
  <si>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</si>
  <si>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</si>
  <si>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</si>
  <si>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</si>
  <si>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</si>
  <si>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</si>
  <si>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</si>
  <si>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</si>
  <si>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</si>
  <si>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</si>
  <si>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</si>
  <si>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</si>
  <si>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</si>
  <si>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</si>
  <si>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</si>
  <si>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</si>
  <si>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</si>
  <si>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</si>
  <si>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</si>
  <si>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</si>
  <si>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</si>
  <si>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</si>
  <si>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</si>
  <si>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</si>
  <si>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</si>
  <si>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</si>
  <si>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</si>
  <si>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</si>
  <si>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</si>
  <si>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</si>
  <si>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</si>
  <si>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</si>
  <si>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</si>
  <si>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</si>
  <si>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</si>
  <si>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</si>
  <si>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</si>
  <si>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</si>
  <si>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</si>
  <si>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</si>
  <si>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</si>
  <si>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</si>
  <si>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</si>
  <si>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</si>
  <si>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</si>
  <si>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</si>
  <si>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</si>
  <si>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</si>
  <si>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</si>
  <si>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</si>
  <si>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</si>
  <si>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</si>
  <si>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</si>
  <si>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</si>
  <si>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</si>
  <si>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</si>
  <si>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</si>
  <si>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</si>
  <si>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</si>
  <si>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</si>
  <si>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</si>
  <si>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</si>
  <si>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</si>
  <si>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</si>
  <si>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</si>
  <si>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</si>
  <si>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</si>
  <si>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</si>
  <si>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</si>
  <si>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</si>
  <si>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</si>
  <si>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</si>
  <si>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</si>
  <si>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</si>
  <si>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</si>
  <si>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</si>
  <si>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</si>
  <si>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</si>
  <si>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</si>
  <si>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</si>
  <si>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</si>
  <si>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</si>
  <si>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</si>
  <si>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</si>
  <si>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</si>
  <si>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</si>
  <si>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</si>
  <si>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</si>
  <si>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</si>
  <si>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</si>
  <si>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</si>
  <si>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</si>
  <si>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</si>
  <si>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</si>
  <si>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</si>
  <si>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</si>
  <si>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</si>
  <si>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</si>
  <si>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</si>
  <si>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</si>
  <si>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</si>
  <si>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</si>
  <si>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</si>
  <si>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</si>
  <si>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</si>
  <si>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</si>
  <si>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</si>
  <si>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</si>
  <si>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</si>
  <si>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</si>
  <si>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</si>
  <si>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</si>
  <si>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</si>
  <si>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</si>
  <si>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</si>
  <si>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</si>
  <si>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</si>
  <si>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</si>
  <si>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</si>
  <si>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</si>
  <si>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</si>
  <si>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</si>
  <si>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</si>
  <si>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</si>
  <si>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</si>
  <si>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</si>
  <si>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</si>
  <si>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</si>
  <si>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</si>
  <si>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</si>
  <si>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</si>
  <si>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</si>
  <si>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</si>
  <si>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</si>
  <si>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</si>
  <si>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</si>
  <si>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</si>
  <si>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</si>
  <si>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</si>
  <si>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</si>
  <si>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</si>
  <si>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</si>
  <si>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</si>
  <si>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</si>
  <si>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</si>
  <si>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</si>
  <si>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</si>
  <si>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</si>
  <si>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</si>
  <si>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</si>
  <si>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</si>
  <si>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</si>
  <si>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</si>
  <si>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</si>
  <si>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</si>
  <si>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</si>
  <si>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</si>
  <si>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</si>
  <si>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</si>
  <si>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</si>
  <si>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</si>
  <si>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</si>
  <si>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</si>
  <si>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</si>
  <si>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</si>
  <si>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</si>
  <si>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</si>
  <si>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</si>
  <si>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</si>
  <si>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</si>
  <si>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</si>
  <si>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</si>
  <si>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</si>
  <si>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</si>
  <si>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</si>
  <si>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</si>
  <si>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</si>
  <si>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</si>
  <si>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</si>
  <si>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</si>
  <si>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</si>
  <si>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</si>
  <si>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</si>
  <si>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</si>
  <si>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</si>
  <si>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</si>
  <si>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</si>
  <si>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</si>
  <si>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</si>
  <si>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</si>
  <si>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</si>
  <si>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</si>
  <si>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</si>
  <si>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</si>
  <si>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</si>
  <si>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</si>
  <si>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</si>
  <si>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</si>
  <si>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</si>
  <si>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</si>
  <si>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</si>
  <si>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</si>
  <si>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</si>
  <si>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</si>
  <si>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</si>
  <si>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</si>
  <si>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</si>
  <si>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</si>
  <si>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</si>
  <si>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</si>
  <si>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</si>
  <si>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</si>
  <si>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</si>
  <si>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</si>
  <si>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</si>
  <si>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</si>
  <si>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</si>
  <si>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</si>
  <si>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</si>
  <si>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</si>
  <si>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</si>
  <si>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</si>
  <si>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</si>
  <si>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</si>
  <si>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</si>
  <si>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</si>
  <si>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</si>
  <si>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</si>
  <si>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</si>
  <si>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</si>
  <si>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</si>
  <si>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</si>
  <si>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</si>
  <si>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</si>
  <si>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</si>
  <si>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</si>
  <si>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</si>
  <si>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</si>
  <si>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</si>
  <si>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</si>
  <si>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</si>
  <si>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</si>
  <si>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</si>
  <si>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</si>
  <si>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</si>
  <si>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</si>
  <si>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</si>
  <si>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</si>
  <si>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</si>
  <si>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</si>
  <si>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</si>
  <si>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</si>
  <si>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</si>
  <si>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</si>
  <si>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</si>
  <si>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</si>
  <si>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</si>
  <si>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</si>
  <si>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</si>
  <si>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</si>
  <si>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</si>
  <si>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</si>
  <si>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</si>
  <si>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</si>
  <si>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</si>
  <si>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</si>
  <si>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</si>
  <si>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</si>
  <si>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</si>
  <si>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</si>
  <si>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</si>
  <si>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</si>
  <si>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</si>
  <si>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</si>
  <si>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</si>
  <si>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</si>
  <si>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</si>
  <si>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</si>
  <si>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</si>
  <si>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</si>
  <si>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</si>
  <si>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</si>
  <si>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</si>
  <si>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</si>
  <si>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</si>
  <si>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</si>
  <si>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</si>
  <si>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</si>
  <si>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</si>
  <si>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</si>
  <si>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</si>
  <si>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</si>
  <si>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</si>
  <si>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</si>
  <si>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</si>
  <si>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</si>
  <si>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</si>
  <si>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</si>
  <si>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</si>
  <si>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</si>
  <si>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</si>
  <si>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</si>
  <si>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</si>
  <si>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</si>
  <si>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</si>
  <si>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</si>
  <si>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</si>
  <si>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</si>
  <si>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</si>
  <si>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</si>
  <si>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</si>
  <si>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</si>
  <si>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</si>
  <si>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</si>
  <si>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</si>
  <si>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</si>
  <si>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</si>
  <si>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</si>
  <si>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</si>
  <si>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</si>
  <si>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</si>
  <si>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</si>
  <si>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</si>
  <si>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</si>
  <si>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</si>
  <si>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</si>
  <si>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</si>
  <si>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</si>
  <si>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</si>
  <si>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</si>
  <si>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</si>
  <si>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</si>
  <si>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</si>
  <si>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</si>
  <si>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</si>
  <si>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</si>
  <si>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</si>
  <si>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</si>
  <si>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</si>
  <si>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</si>
  <si>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</si>
  <si>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</si>
  <si>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</si>
  <si>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</si>
  <si>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</si>
  <si>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</si>
  <si>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</si>
  <si>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</si>
  <si>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</si>
  <si>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</si>
  <si>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</si>
  <si>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</si>
  <si>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</si>
  <si>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</si>
  <si>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</si>
  <si>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</si>
  <si>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</si>
  <si>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</si>
  <si>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</si>
  <si>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</si>
  <si>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</si>
  <si>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</si>
  <si>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</si>
  <si>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</si>
  <si>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</si>
  <si>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</si>
  <si>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</si>
  <si>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</si>
  <si>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</si>
  <si>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</si>
  <si>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</si>
  <si>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</si>
  <si>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</si>
  <si>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</si>
  <si>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</si>
  <si>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</si>
  <si>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</si>
  <si>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</si>
  <si>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</si>
  <si>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</si>
  <si>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</si>
  <si>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</si>
  <si>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</si>
  <si>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</si>
  <si>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</si>
  <si>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</si>
  <si>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</si>
  <si>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</si>
  <si>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</si>
  <si>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</si>
  <si>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</si>
  <si>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</si>
  <si>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</si>
  <si>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</si>
  <si>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</si>
  <si>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</si>
  <si>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</si>
  <si>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</si>
  <si>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</si>
  <si>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</si>
  <si>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</si>
  <si>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</si>
  <si>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</si>
  <si>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</si>
  <si>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</si>
  <si>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</si>
  <si>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</si>
  <si>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</si>
  <si>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</si>
  <si>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</si>
  <si>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</si>
  <si>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</si>
  <si>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</si>
  <si>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</si>
  <si>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</si>
  <si>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</si>
  <si>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</si>
  <si>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</si>
  <si>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</si>
  <si>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</si>
  <si>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</si>
  <si>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</si>
  <si>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</si>
  <si>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</si>
  <si>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</si>
  <si>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</si>
  <si>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</si>
  <si>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</si>
  <si>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</si>
  <si>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</si>
  <si>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</si>
  <si>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</si>
  <si>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</si>
  <si>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</si>
  <si>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</si>
  <si>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</si>
  <si>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</si>
  <si>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</si>
  <si>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</si>
  <si>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</si>
  <si>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</si>
  <si>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</si>
  <si>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</si>
  <si>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</si>
  <si>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0.3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</si>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</sst>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56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190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187</v>
      </c>
    </row>
    <row r="34" spans="2:5">
      <c r="C34" s="5" t="s">
        <v>188</v>
      </c>
      <c r="E34" s="5" t="s">
        <v>189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P97"/>
  <sheetViews>
    <sheetView topLeftCell="A4" workbookViewId="0">
      <selection activeCell="E47" sqref="E47"/>
    </sheetView>
  </sheetViews>
  <sheetFormatPr defaultRowHeight="13.5"/>
  <cols>
    <col min="1" max="1" width="9" style="5"/>
    <col min="2" max="2" width="9" style="5" customWidth="1"/>
    <col min="3" max="3" width="18" style="5" customWidth="1"/>
    <col min="4" max="4" width="17" style="5" customWidth="1"/>
    <col min="5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417</v>
      </c>
    </row>
    <row r="4" spans="2:12">
      <c r="B4" s="6" t="s">
        <v>153</v>
      </c>
      <c r="C4" s="6" t="s">
        <v>1155</v>
      </c>
      <c r="D4" s="6" t="s">
        <v>1127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505</v>
      </c>
      <c r="C6" s="9" t="s">
        <v>150</v>
      </c>
      <c r="D6" s="19"/>
      <c r="E6" s="8">
        <f t="shared" ref="E6:E11" si="0">E5+1</f>
        <v>1</v>
      </c>
      <c r="F6" s="19"/>
      <c r="G6" s="9">
        <v>0</v>
      </c>
      <c r="H6" s="9" t="s">
        <v>125</v>
      </c>
      <c r="I6" s="19"/>
      <c r="J6" s="18"/>
      <c r="K6" s="5" t="str">
        <f>"INSERT INTO m_code VALUES ("&amp;"'"&amp;B6&amp;"'"&amp;","&amp;E6&amp;","&amp;"'"&amp;C6&amp;"'"&amp;","&amp;"'"&amp;D6&amp;"'"&amp;","&amp;"'"&amp;F6&amp;"'"&amp;","&amp;G6&amp;","&amp;H6&amp;","&amp;"'"&amp;I6&amp;"'"&amp;");"</f>
        <v>INSERT INTO m_code VALUES ('code001',1,'火','','',0,0.0,'');</v>
      </c>
    </row>
    <row r="7" spans="2:12">
      <c r="B7" s="43" t="s">
        <v>505</v>
      </c>
      <c r="C7" s="9" t="s">
        <v>34</v>
      </c>
      <c r="D7" s="19"/>
      <c r="E7" s="8">
        <f t="shared" si="0"/>
        <v>2</v>
      </c>
      <c r="F7" s="19"/>
      <c r="G7" s="9">
        <v>0</v>
      </c>
      <c r="H7" s="9" t="s">
        <v>125</v>
      </c>
      <c r="I7" s="19"/>
      <c r="J7" s="18"/>
      <c r="K7" s="5" t="str">
        <f>"INSERT INTO m_code VALUES ("&amp;"'"&amp;B7&amp;"'"&amp;","&amp;E7&amp;","&amp;"'"&amp;C7&amp;"'"&amp;","&amp;"'"&amp;D7&amp;"'"&amp;","&amp;"'"&amp;F7&amp;"'"&amp;","&amp;G7&amp;","&amp;H7&amp;","&amp;"'"&amp;I7&amp;"'"&amp;");"</f>
        <v>INSERT INTO m_code VALUES ('code001',2,'雷','','',0,0.0,'');</v>
      </c>
    </row>
    <row r="8" spans="2:12">
      <c r="B8" s="43" t="s">
        <v>505</v>
      </c>
      <c r="C8" s="9" t="s">
        <v>151</v>
      </c>
      <c r="D8" s="19"/>
      <c r="E8" s="8">
        <f t="shared" si="0"/>
        <v>3</v>
      </c>
      <c r="F8" s="19"/>
      <c r="G8" s="9">
        <v>0</v>
      </c>
      <c r="H8" s="9" t="s">
        <v>125</v>
      </c>
      <c r="I8" s="19"/>
      <c r="J8" s="18"/>
      <c r="K8" s="5" t="str">
        <f>"INSERT INTO m_code VALUES ("&amp;"'"&amp;B8&amp;"'"&amp;","&amp;E8&amp;","&amp;"'"&amp;C8&amp;"'"&amp;","&amp;"'"&amp;D8&amp;"'"&amp;","&amp;"'"&amp;F8&amp;"'"&amp;","&amp;G8&amp;","&amp;H8&amp;","&amp;"'"&amp;I8&amp;"'"&amp;");"</f>
        <v>INSERT INTO m_code VALUES ('code001',3,'水','','',0,0.0,'');</v>
      </c>
    </row>
    <row r="9" spans="2:12">
      <c r="B9" s="43" t="s">
        <v>505</v>
      </c>
      <c r="C9" s="9" t="s">
        <v>35</v>
      </c>
      <c r="D9" s="19"/>
      <c r="E9" s="8">
        <f t="shared" si="0"/>
        <v>4</v>
      </c>
      <c r="F9" s="19"/>
      <c r="G9" s="9">
        <v>0</v>
      </c>
      <c r="H9" s="9" t="s">
        <v>125</v>
      </c>
      <c r="I9" s="19"/>
      <c r="J9" s="18"/>
      <c r="K9" s="5" t="str">
        <f>"INSERT INTO m_code VALUES ("&amp;"'"&amp;B9&amp;"'"&amp;","&amp;E9&amp;","&amp;"'"&amp;C9&amp;"'"&amp;","&amp;"'"&amp;D9&amp;"'"&amp;","&amp;"'"&amp;F9&amp;"'"&amp;","&amp;G9&amp;","&amp;H9&amp;","&amp;"'"&amp;I9&amp;"'"&amp;");"</f>
        <v>INSERT INTO m_code VALUES ('code001',4,'土','','',0,0.0,'');</v>
      </c>
    </row>
    <row r="10" spans="2:12">
      <c r="B10" s="43" t="s">
        <v>505</v>
      </c>
      <c r="C10" s="9" t="s">
        <v>36</v>
      </c>
      <c r="D10" s="19"/>
      <c r="E10" s="8">
        <f t="shared" si="0"/>
        <v>5</v>
      </c>
      <c r="F10" s="19"/>
      <c r="G10" s="9">
        <v>0</v>
      </c>
      <c r="H10" s="9" t="s">
        <v>125</v>
      </c>
      <c r="I10" s="19"/>
      <c r="J10" s="18"/>
      <c r="K10" s="5" t="str">
        <f>"INSERT INTO m_code VALUES ("&amp;"'"&amp;B10&amp;"'"&amp;","&amp;E10&amp;","&amp;"'"&amp;C10&amp;"'"&amp;","&amp;"'"&amp;D10&amp;"'"&amp;","&amp;"'"&amp;F10&amp;"'"&amp;","&amp;G10&amp;","&amp;H10&amp;","&amp;"'"&amp;I10&amp;"'"&amp;");"</f>
        <v>INSERT INTO m_code VALUES ('code001',5,'光','','',0,0.0,'');</v>
      </c>
    </row>
    <row r="11" spans="2:12">
      <c r="B11" s="43" t="s">
        <v>505</v>
      </c>
      <c r="C11" s="9" t="s">
        <v>37</v>
      </c>
      <c r="D11" s="19"/>
      <c r="E11" s="8">
        <f t="shared" si="0"/>
        <v>6</v>
      </c>
      <c r="F11" s="19"/>
      <c r="G11" s="9">
        <v>0</v>
      </c>
      <c r="H11" s="9" t="s">
        <v>125</v>
      </c>
      <c r="I11" s="19"/>
      <c r="J11" s="18"/>
      <c r="K11" s="5" t="str">
        <f>"INSERT INTO m_code VALUES ("&amp;"'"&amp;B11&amp;"'"&amp;","&amp;E11&amp;","&amp;"'"&amp;C11&amp;"'"&amp;","&amp;"'"&amp;D11&amp;"'"&amp;","&amp;"'"&amp;F11&amp;"'"&amp;","&amp;G11&amp;","&amp;H11&amp;","&amp;"'"&amp;I11&amp;"'"&amp;");"</f>
        <v>INSERT INTO m_code VALUES ('code001',6,'闇','','',0,0.0,'');</v>
      </c>
    </row>
    <row r="12" spans="2:12">
      <c r="B12" s="6" t="s">
        <v>153</v>
      </c>
      <c r="C12" s="6" t="s">
        <v>1156</v>
      </c>
      <c r="D12" s="6" t="s">
        <v>1127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120</v>
      </c>
      <c r="K12" s="18"/>
    </row>
    <row r="13" spans="2:12">
      <c r="B13" s="43" t="s">
        <v>506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1154</v>
      </c>
      <c r="K13" s="5" t="str">
        <f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1153</v>
      </c>
      <c r="I14" s="19" t="s">
        <v>1154</v>
      </c>
      <c r="K14" s="5" t="str">
        <f>"INSERT INTO m_code VALUES ("&amp;"'"&amp;B14&amp;"'"&amp;","&amp;E14&amp;","&amp;"'"&amp;C14&amp;"'"&amp;","&amp;"'"&amp;D14&amp;"'"&amp;","&amp;"'"&amp;F14&amp;"'"&amp;","&amp;G14&amp;","&amp;H14&amp;","&amp;"'"&amp;I14&amp;"'"&amp;");"</f>
        <v>INSERT INTO m_code VALUES ('code002',1,'毒','毒','',0,0.2,'param3: 解除確立　0.0 → 0%, 1.0 → 100%');</v>
      </c>
    </row>
    <row r="15" spans="2:12">
      <c r="B15" s="43" t="s">
        <v>506</v>
      </c>
      <c r="C15" s="9" t="s">
        <v>77</v>
      </c>
      <c r="D15" s="9" t="s">
        <v>1128</v>
      </c>
      <c r="E15" s="8">
        <f t="shared" ref="E15:E20" si="1">E14+1</f>
        <v>2</v>
      </c>
      <c r="F15" s="19"/>
      <c r="G15" s="9" t="s">
        <v>132</v>
      </c>
      <c r="H15" s="9" t="s">
        <v>1149</v>
      </c>
      <c r="I15" s="19" t="s">
        <v>1154</v>
      </c>
      <c r="K15" s="5" t="str">
        <f>"INSERT INTO m_code VALUES ("&amp;"'"&amp;B15&amp;"'"&amp;","&amp;E15&amp;","&amp;"'"&amp;C15&amp;"'"&amp;","&amp;"'"&amp;D15&amp;"'"&amp;","&amp;"'"&amp;F15&amp;"'"&amp;","&amp;G15&amp;","&amp;H15&amp;","&amp;"'"&amp;I15&amp;"'"&amp;");"</f>
        <v>INSERT INTO m_code VALUES ('code002',2,'睡眠','眠','',0,0.8,'param3: 解除確立　0.0 → 0%, 1.0 → 100%');</v>
      </c>
    </row>
    <row r="16" spans="2:12">
      <c r="B16" s="43" t="s">
        <v>506</v>
      </c>
      <c r="C16" s="9" t="s">
        <v>59</v>
      </c>
      <c r="D16" s="9" t="s">
        <v>1129</v>
      </c>
      <c r="E16" s="8">
        <f t="shared" si="1"/>
        <v>3</v>
      </c>
      <c r="F16" s="19"/>
      <c r="G16" s="9" t="s">
        <v>132</v>
      </c>
      <c r="H16" s="9" t="s">
        <v>1150</v>
      </c>
      <c r="I16" s="19" t="s">
        <v>1154</v>
      </c>
      <c r="K16" s="5" t="str">
        <f>"INSERT INTO m_code VALUES ("&amp;"'"&amp;B16&amp;"'"&amp;","&amp;E16&amp;","&amp;"'"&amp;C16&amp;"'"&amp;","&amp;"'"&amp;D16&amp;"'"&amp;","&amp;"'"&amp;F16&amp;"'"&amp;","&amp;G16&amp;","&amp;H16&amp;","&amp;"'"&amp;I16&amp;"'"&amp;");"</f>
        <v>INSERT INTO m_code VALUES ('code002',3,'魅了','魅','',0,1.0,'param3: 解除確立　0.0 → 0%, 1.0 → 100%');</v>
      </c>
    </row>
    <row r="17" spans="2:11">
      <c r="B17" s="43" t="s">
        <v>506</v>
      </c>
      <c r="C17" s="9" t="s">
        <v>63</v>
      </c>
      <c r="D17" s="9" t="s">
        <v>1130</v>
      </c>
      <c r="E17" s="8">
        <f t="shared" si="1"/>
        <v>4</v>
      </c>
      <c r="F17" s="19"/>
      <c r="G17" s="9" t="s">
        <v>132</v>
      </c>
      <c r="H17" s="9" t="s">
        <v>1151</v>
      </c>
      <c r="I17" s="19" t="s">
        <v>1154</v>
      </c>
      <c r="K17" s="5" t="str">
        <f>"INSERT INTO m_code VALUES ("&amp;"'"&amp;B17&amp;"'"&amp;","&amp;E17&amp;","&amp;"'"&amp;C17&amp;"'"&amp;","&amp;"'"&amp;D17&amp;"'"&amp;","&amp;"'"&amp;F17&amp;"'"&amp;","&amp;G17&amp;","&amp;H17&amp;","&amp;"'"&amp;I17&amp;"'"&amp;");"</f>
        <v>INSERT INTO m_code VALUES ('code002',4,'スロー','遅','',0,0.5,'param3: 解除確立　0.0 → 0%, 1.0 → 100%');</v>
      </c>
    </row>
    <row r="18" spans="2:11">
      <c r="B18" s="43" t="s">
        <v>506</v>
      </c>
      <c r="C18" s="9" t="s">
        <v>147</v>
      </c>
      <c r="D18" s="9" t="s">
        <v>1131</v>
      </c>
      <c r="E18" s="8">
        <f t="shared" si="1"/>
        <v>5</v>
      </c>
      <c r="F18" s="19"/>
      <c r="G18" s="9" t="s">
        <v>132</v>
      </c>
      <c r="H18" s="9" t="s">
        <v>1151</v>
      </c>
      <c r="I18" s="19" t="s">
        <v>1154</v>
      </c>
      <c r="K18" s="5" t="str">
        <f>"INSERT INTO m_code VALUES ("&amp;"'"&amp;B18&amp;"'"&amp;","&amp;E18&amp;","&amp;"'"&amp;C18&amp;"'"&amp;","&amp;"'"&amp;D18&amp;"'"&amp;","&amp;"'"&amp;F18&amp;"'"&amp;","&amp;G18&amp;","&amp;H18&amp;","&amp;"'"&amp;I18&amp;"'"&amp;");"</f>
        <v>INSERT INTO m_code VALUES ('code002',5,'攻撃力UP','攻↑','',0,0.5,'param3: 解除確立　0.0 → 0%, 1.0 → 100%');</v>
      </c>
    </row>
    <row r="19" spans="2:11">
      <c r="B19" s="43" t="s">
        <v>506</v>
      </c>
      <c r="C19" s="9" t="s">
        <v>148</v>
      </c>
      <c r="D19" s="9" t="s">
        <v>1132</v>
      </c>
      <c r="E19" s="8">
        <f t="shared" si="1"/>
        <v>6</v>
      </c>
      <c r="F19" s="19"/>
      <c r="G19" s="9" t="s">
        <v>132</v>
      </c>
      <c r="H19" s="9" t="s">
        <v>1151</v>
      </c>
      <c r="I19" s="19" t="s">
        <v>1154</v>
      </c>
      <c r="K19" s="5" t="str">
        <f>"INSERT INTO m_code VALUES ("&amp;"'"&amp;B19&amp;"'"&amp;","&amp;E19&amp;","&amp;"'"&amp;C19&amp;"'"&amp;","&amp;"'"&amp;D19&amp;"'"&amp;","&amp;"'"&amp;F19&amp;"'"&amp;","&amp;G19&amp;","&amp;H19&amp;","&amp;"'"&amp;I19&amp;"'"&amp;");"</f>
        <v>INSERT INTO m_code VALUES ('code002',6,'回避力UP','回↑','',0,0.5,'param3: 解除確立　0.0 → 0%, 1.0 → 100%');</v>
      </c>
    </row>
    <row r="20" spans="2:11">
      <c r="B20" s="43" t="s">
        <v>506</v>
      </c>
      <c r="C20" s="9" t="s">
        <v>1126</v>
      </c>
      <c r="D20" s="9" t="s">
        <v>1135</v>
      </c>
      <c r="E20" s="8">
        <f t="shared" si="1"/>
        <v>7</v>
      </c>
      <c r="F20" s="19"/>
      <c r="G20" s="9" t="s">
        <v>132</v>
      </c>
      <c r="H20" s="9" t="s">
        <v>1151</v>
      </c>
      <c r="I20" s="19" t="s">
        <v>1154</v>
      </c>
      <c r="K20" s="5" t="str">
        <f>"INSERT INTO m_code VALUES ("&amp;"'"&amp;B20&amp;"'"&amp;","&amp;E20&amp;","&amp;"'"&amp;C20&amp;"'"&amp;","&amp;"'"&amp;D20&amp;"'"&amp;","&amp;"'"&amp;F20&amp;"'"&amp;","&amp;G20&amp;","&amp;H20&amp;","&amp;"'"&amp;I20&amp;"'"&amp;");"</f>
        <v>INSERT INTO m_code VALUES ('code002',7,'会心UP','会UP','',0,0.5,'param3: 解除確立　0.0 → 0%, 1.0 → 100%');</v>
      </c>
    </row>
    <row r="21" spans="2:11">
      <c r="B21" s="43" t="s">
        <v>506</v>
      </c>
      <c r="C21" s="9" t="s">
        <v>1125</v>
      </c>
      <c r="D21" s="9" t="s">
        <v>1133</v>
      </c>
      <c r="E21" s="8">
        <f>E20+1</f>
        <v>8</v>
      </c>
      <c r="F21" s="19"/>
      <c r="G21" s="9" t="s">
        <v>132</v>
      </c>
      <c r="H21" s="9" t="s">
        <v>1152</v>
      </c>
      <c r="I21" s="19" t="s">
        <v>1154</v>
      </c>
      <c r="K21" s="5" t="str">
        <f>"INSERT INTO m_code VALUES ("&amp;"'"&amp;B21&amp;"'"&amp;","&amp;E21&amp;","&amp;"'"&amp;C21&amp;"'"&amp;","&amp;"'"&amp;D21&amp;"'"&amp;","&amp;"'"&amp;F21&amp;"'"&amp;","&amp;G21&amp;","&amp;H21&amp;","&amp;"'"&amp;I21&amp;"'"&amp;");"</f>
        <v>INSERT INTO m_code VALUES ('code002',8,'自動回復','癒','',0,0.3,'param3: 解除確立　0.0 → 0%, 1.0 → 100%');</v>
      </c>
    </row>
    <row r="22" spans="2:11">
      <c r="B22" s="43" t="s">
        <v>506</v>
      </c>
      <c r="C22" s="9" t="s">
        <v>1124</v>
      </c>
      <c r="D22" s="9" t="s">
        <v>1134</v>
      </c>
      <c r="E22" s="8">
        <f>E21+1</f>
        <v>9</v>
      </c>
      <c r="F22" s="19"/>
      <c r="G22" s="9" t="s">
        <v>132</v>
      </c>
      <c r="H22" s="9" t="s">
        <v>1151</v>
      </c>
      <c r="I22" s="19" t="s">
        <v>1154</v>
      </c>
      <c r="K22" s="5" t="str">
        <f>"INSERT INTO m_code VALUES ("&amp;"'"&amp;B22&amp;"'"&amp;","&amp;E22&amp;","&amp;"'"&amp;C22&amp;"'"&amp;","&amp;"'"&amp;D22&amp;"'"&amp;","&amp;"'"&amp;F22&amp;"'"&amp;","&amp;G22&amp;","&amp;H22&amp;","&amp;"'"&amp;I22&amp;"'"&amp;");"</f>
        <v>INSERT INTO m_code VALUES ('code002',9,'猛毒','猛','',0,0.5,'param3: 解除確立　0.0 → 0%, 1.0 → 100%');</v>
      </c>
    </row>
    <row r="23" spans="2:11">
      <c r="B23" s="6" t="s">
        <v>153</v>
      </c>
      <c r="C23" s="6" t="s">
        <v>1157</v>
      </c>
      <c r="D23" s="6" t="s">
        <v>1127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120</v>
      </c>
      <c r="J23" s="18"/>
    </row>
    <row r="24" spans="2:11">
      <c r="B24" s="43" t="s">
        <v>507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507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>"INSERT INTO m_code VALUES ("&amp;"'"&amp;B25&amp;"'"&amp;","&amp;E25&amp;","&amp;"'"&amp;C25&amp;"'"&amp;","&amp;"'"&amp;D25&amp;"'"&amp;","&amp;"'"&amp;F25&amp;"'"&amp;","&amp;G25&amp;","&amp;H25&amp;","&amp;"'"&amp;I25&amp;"'"&amp;");"</f>
        <v>INSERT INTO m_code VALUES ('code003',1,'敵ランダム','','',0,0.0,'');</v>
      </c>
    </row>
    <row r="26" spans="2:11">
      <c r="B26" s="43" t="s">
        <v>507</v>
      </c>
      <c r="C26" s="9" t="s">
        <v>32</v>
      </c>
      <c r="D26" s="9"/>
      <c r="E26" s="8">
        <f t="shared" ref="E26:E32" si="2">E25+1</f>
        <v>2</v>
      </c>
      <c r="F26" s="19"/>
      <c r="G26" s="9">
        <v>0</v>
      </c>
      <c r="H26" s="9" t="s">
        <v>125</v>
      </c>
      <c r="I26" s="19"/>
      <c r="J26" s="18"/>
      <c r="K26" s="5" t="str">
        <f>"INSERT INTO m_code VALUES ("&amp;"'"&amp;B26&amp;"'"&amp;","&amp;E26&amp;","&amp;"'"&amp;C26&amp;"'"&amp;","&amp;"'"&amp;D26&amp;"'"&amp;","&amp;"'"&amp;F26&amp;"'"&amp;","&amp;G26&amp;","&amp;H26&amp;","&amp;"'"&amp;I26&amp;"'"&amp;");"</f>
        <v>INSERT INTO m_code VALUES ('code003',2,'敵全体','','',0,0.0,'');</v>
      </c>
    </row>
    <row r="27" spans="2:11">
      <c r="B27" s="43" t="s">
        <v>507</v>
      </c>
      <c r="C27" s="9" t="s">
        <v>112</v>
      </c>
      <c r="D27" s="9"/>
      <c r="E27" s="8">
        <f t="shared" si="2"/>
        <v>3</v>
      </c>
      <c r="F27" s="19"/>
      <c r="G27" s="9">
        <v>0</v>
      </c>
      <c r="H27" s="9" t="s">
        <v>125</v>
      </c>
      <c r="I27" s="19"/>
      <c r="J27" s="18"/>
      <c r="K27" s="5" t="str">
        <f>"INSERT INTO m_code VALUES ("&amp;"'"&amp;B27&amp;"'"&amp;","&amp;E27&amp;","&amp;"'"&amp;C27&amp;"'"&amp;","&amp;"'"&amp;D27&amp;"'"&amp;","&amp;"'"&amp;F27&amp;"'"&amp;","&amp;G27&amp;","&amp;H27&amp;","&amp;"'"&amp;I27&amp;"'"&amp;");"</f>
        <v>INSERT INTO m_code VALUES ('code003',3,'敵ランダム・敵全体','','',0,0.0,'');</v>
      </c>
    </row>
    <row r="28" spans="2:11">
      <c r="B28" s="43" t="s">
        <v>507</v>
      </c>
      <c r="C28" s="9" t="s">
        <v>111</v>
      </c>
      <c r="D28" s="9"/>
      <c r="E28" s="8">
        <f t="shared" si="2"/>
        <v>4</v>
      </c>
      <c r="F28" s="19"/>
      <c r="G28" s="9">
        <v>0</v>
      </c>
      <c r="H28" s="9" t="s">
        <v>125</v>
      </c>
      <c r="I28" s="19"/>
      <c r="J28" s="18"/>
      <c r="K28" s="5" t="str">
        <f>"INSERT INTO m_code VALUES ("&amp;"'"&amp;B28&amp;"'"&amp;","&amp;E28&amp;","&amp;"'"&amp;C28&amp;"'"&amp;","&amp;"'"&amp;D28&amp;"'"&amp;","&amp;"'"&amp;F28&amp;"'"&amp;","&amp;G28&amp;","&amp;H28&amp;","&amp;"'"&amp;I28&amp;"'"&amp;");"</f>
        <v>INSERT INTO m_code VALUES ('code003',4,'敵ランダム・複数回','','',0,0.0,'');</v>
      </c>
    </row>
    <row r="29" spans="2:11">
      <c r="B29" s="43" t="s">
        <v>507</v>
      </c>
      <c r="C29" s="9" t="s">
        <v>110</v>
      </c>
      <c r="D29" s="9"/>
      <c r="E29" s="8">
        <f t="shared" si="2"/>
        <v>5</v>
      </c>
      <c r="F29" s="19"/>
      <c r="G29" s="9">
        <v>0</v>
      </c>
      <c r="H29" s="9" t="s">
        <v>125</v>
      </c>
      <c r="I29" s="19"/>
      <c r="J29" s="18"/>
      <c r="K29" s="5" t="str">
        <f>"INSERT INTO m_code VALUES ("&amp;"'"&amp;B29&amp;"'"&amp;","&amp;E29&amp;","&amp;"'"&amp;C29&amp;"'"&amp;","&amp;"'"&amp;D29&amp;"'"&amp;","&amp;"'"&amp;F29&amp;"'"&amp;","&amp;G29&amp;","&amp;H29&amp;","&amp;"'"&amp;I29&amp;"'"&amp;");"</f>
        <v>INSERT INTO m_code VALUES ('code003',5,'自身','','',0,0.0,'');</v>
      </c>
    </row>
    <row r="30" spans="2:11">
      <c r="B30" s="43" t="s">
        <v>507</v>
      </c>
      <c r="C30" s="9" t="s">
        <v>73</v>
      </c>
      <c r="D30" s="9"/>
      <c r="E30" s="8">
        <f t="shared" si="2"/>
        <v>6</v>
      </c>
      <c r="F30" s="19"/>
      <c r="G30" s="9">
        <v>0</v>
      </c>
      <c r="H30" s="9" t="s">
        <v>125</v>
      </c>
      <c r="I30" s="19"/>
      <c r="J30" s="18"/>
      <c r="K30" s="5" t="str">
        <f>"INSERT INTO m_code VALUES ("&amp;"'"&amp;B30&amp;"'"&amp;","&amp;E30&amp;","&amp;"'"&amp;C30&amp;"'"&amp;","&amp;"'"&amp;D30&amp;"'"&amp;","&amp;"'"&amp;F30&amp;"'"&amp;","&amp;G30&amp;","&amp;H30&amp;","&amp;"'"&amp;I30&amp;"'"&amp;");"</f>
        <v>INSERT INTO m_code VALUES ('code003',6,'味方ランダム','','',0,0.0,'');</v>
      </c>
    </row>
    <row r="31" spans="2:11">
      <c r="B31" s="43" t="s">
        <v>507</v>
      </c>
      <c r="C31" s="9" t="s">
        <v>71</v>
      </c>
      <c r="D31" s="9"/>
      <c r="E31" s="8">
        <f t="shared" si="2"/>
        <v>7</v>
      </c>
      <c r="F31" s="19"/>
      <c r="G31" s="9">
        <v>0</v>
      </c>
      <c r="H31" s="9" t="s">
        <v>125</v>
      </c>
      <c r="I31" s="19"/>
      <c r="J31" s="18"/>
      <c r="K31" s="5" t="str">
        <f>"INSERT INTO m_code VALUES ("&amp;"'"&amp;B31&amp;"'"&amp;","&amp;E31&amp;","&amp;"'"&amp;C31&amp;"'"&amp;","&amp;"'"&amp;D31&amp;"'"&amp;","&amp;"'"&amp;F31&amp;"'"&amp;","&amp;G31&amp;","&amp;H31&amp;","&amp;"'"&amp;I31&amp;"'"&amp;");"</f>
        <v>INSERT INTO m_code VALUES ('code003',7,'味方全体','','',0,0.0,'');</v>
      </c>
    </row>
    <row r="32" spans="2:11">
      <c r="B32" s="43" t="s">
        <v>507</v>
      </c>
      <c r="C32" s="9" t="s">
        <v>113</v>
      </c>
      <c r="D32" s="9"/>
      <c r="E32" s="8">
        <f t="shared" si="2"/>
        <v>8</v>
      </c>
      <c r="F32" s="19"/>
      <c r="G32" s="9">
        <v>0</v>
      </c>
      <c r="H32" s="9" t="s">
        <v>125</v>
      </c>
      <c r="I32" s="19"/>
      <c r="J32" s="18"/>
      <c r="K32" s="5" t="str">
        <f>"INSERT INTO m_code VALUES ("&amp;"'"&amp;B32&amp;"'"&amp;","&amp;E32&amp;","&amp;"'"&amp;C32&amp;"'"&amp;","&amp;"'"&amp;D32&amp;"'"&amp;","&amp;"'"&amp;F32&amp;"'"&amp;","&amp;G32&amp;","&amp;H32&amp;","&amp;"'"&amp;I32&amp;"'"&amp;");"</f>
        <v>INSERT INTO m_code VALUES ('code003',8,'味方ランダム・味方全体','','',0,0.0,'');</v>
      </c>
    </row>
    <row r="33" spans="2:11">
      <c r="B33" s="6" t="s">
        <v>153</v>
      </c>
      <c r="C33" s="6" t="s">
        <v>1158</v>
      </c>
      <c r="D33" s="6" t="s">
        <v>1127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120</v>
      </c>
      <c r="J33" s="18"/>
    </row>
    <row r="34" spans="2:11">
      <c r="B34" s="43" t="s">
        <v>508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508</v>
      </c>
      <c r="C35" s="13" t="s">
        <v>90</v>
      </c>
      <c r="D35" s="13" t="s">
        <v>1136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>"INSERT INTO m_code VALUES ("&amp;"'"&amp;B35&amp;"'"&amp;","&amp;E35&amp;","&amp;"'"&amp;C35&amp;"'"&amp;","&amp;"'"&amp;D35&amp;"'"&amp;","&amp;"'"&amp;F35&amp;"'"&amp;","&amp;G35&amp;","&amp;H35&amp;","&amp;"'"&amp;I35&amp;"'"&amp;");"</f>
        <v>INSERT INTO m_code VALUES ('code004',1,'打撃攻撃','打','',0,0.0,'');</v>
      </c>
    </row>
    <row r="36" spans="2:11">
      <c r="B36" s="43" t="s">
        <v>508</v>
      </c>
      <c r="C36" s="13" t="s">
        <v>91</v>
      </c>
      <c r="D36" s="13" t="s">
        <v>1137</v>
      </c>
      <c r="E36" s="8">
        <f t="shared" ref="E36:E42" si="3">E35+1</f>
        <v>2</v>
      </c>
      <c r="F36" s="19"/>
      <c r="G36" s="9">
        <v>0</v>
      </c>
      <c r="H36" s="9" t="s">
        <v>125</v>
      </c>
      <c r="I36" s="19"/>
      <c r="J36" s="18"/>
      <c r="K36" s="5" t="str">
        <f>"INSERT INTO m_code VALUES ("&amp;"'"&amp;B36&amp;"'"&amp;","&amp;E36&amp;","&amp;"'"&amp;C36&amp;"'"&amp;","&amp;"'"&amp;D36&amp;"'"&amp;","&amp;"'"&amp;F36&amp;"'"&amp;","&amp;G36&amp;","&amp;H36&amp;","&amp;"'"&amp;I36&amp;"'"&amp;");"</f>
        <v>INSERT INTO m_code VALUES ('code004',2,'斬撃攻撃','斬','',0,0.0,'');</v>
      </c>
    </row>
    <row r="37" spans="2:11">
      <c r="B37" s="43" t="s">
        <v>508</v>
      </c>
      <c r="C37" s="13" t="s">
        <v>89</v>
      </c>
      <c r="D37" s="13" t="s">
        <v>1138</v>
      </c>
      <c r="E37" s="8">
        <f t="shared" si="3"/>
        <v>3</v>
      </c>
      <c r="F37" s="19"/>
      <c r="G37" s="9">
        <v>0</v>
      </c>
      <c r="H37" s="9" t="s">
        <v>125</v>
      </c>
      <c r="I37" s="19"/>
      <c r="J37" s="18"/>
      <c r="K37" s="5" t="str">
        <f>"INSERT INTO m_code VALUES ("&amp;"'"&amp;B37&amp;"'"&amp;","&amp;E37&amp;","&amp;"'"&amp;C37&amp;"'"&amp;","&amp;"'"&amp;D37&amp;"'"&amp;","&amp;"'"&amp;F37&amp;"'"&amp;","&amp;G37&amp;","&amp;H37&amp;","&amp;"'"&amp;I37&amp;"'"&amp;");"</f>
        <v>INSERT INTO m_code VALUES ('code004',3,'攻撃魔法','攻魔','',0,0.0,'');</v>
      </c>
    </row>
    <row r="38" spans="2:11">
      <c r="B38" s="43" t="s">
        <v>508</v>
      </c>
      <c r="C38" s="9" t="s">
        <v>140</v>
      </c>
      <c r="D38" s="9" t="s">
        <v>1139</v>
      </c>
      <c r="E38" s="8">
        <f t="shared" si="3"/>
        <v>4</v>
      </c>
      <c r="F38" s="19"/>
      <c r="G38" s="9">
        <v>0</v>
      </c>
      <c r="H38" s="9" t="s">
        <v>125</v>
      </c>
      <c r="I38" s="19"/>
      <c r="J38" s="18"/>
      <c r="K38" s="5" t="str">
        <f>"INSERT INTO m_code VALUES ("&amp;"'"&amp;B38&amp;"'"&amp;","&amp;E38&amp;","&amp;"'"&amp;C38&amp;"'"&amp;","&amp;"'"&amp;D38&amp;"'"&amp;","&amp;"'"&amp;F38&amp;"'"&amp;","&amp;G38&amp;","&amp;H38&amp;","&amp;"'"&amp;I38&amp;"'"&amp;");"</f>
        <v>INSERT INTO m_code VALUES ('code004',4,'割合攻撃','割合','',0,0.0,'');</v>
      </c>
    </row>
    <row r="39" spans="2:11">
      <c r="B39" s="43" t="s">
        <v>508</v>
      </c>
      <c r="C39" s="9" t="s">
        <v>145</v>
      </c>
      <c r="D39" s="9" t="s">
        <v>1140</v>
      </c>
      <c r="E39" s="8">
        <f t="shared" si="3"/>
        <v>5</v>
      </c>
      <c r="F39" s="19"/>
      <c r="G39" s="9">
        <v>0</v>
      </c>
      <c r="H39" s="9" t="s">
        <v>125</v>
      </c>
      <c r="I39" s="19"/>
      <c r="J39" s="18"/>
      <c r="K39" s="5" t="str">
        <f>"INSERT INTO m_code VALUES ("&amp;"'"&amp;B39&amp;"'"&amp;","&amp;E39&amp;","&amp;"'"&amp;C39&amp;"'"&amp;","&amp;"'"&amp;D39&amp;"'"&amp;","&amp;"'"&amp;F39&amp;"'"&amp;","&amp;G39&amp;","&amp;H39&amp;","&amp;"'"&amp;I39&amp;"'"&amp;");"</f>
        <v>INSERT INTO m_code VALUES ('code004',5,'即死攻撃','即死','',0,0.0,'');</v>
      </c>
    </row>
    <row r="40" spans="2:11">
      <c r="B40" s="43" t="s">
        <v>508</v>
      </c>
      <c r="C40" s="9" t="s">
        <v>69</v>
      </c>
      <c r="D40" s="9" t="s">
        <v>69</v>
      </c>
      <c r="E40" s="8">
        <f t="shared" si="3"/>
        <v>6</v>
      </c>
      <c r="F40" s="19"/>
      <c r="G40" s="9">
        <v>0</v>
      </c>
      <c r="H40" s="9" t="s">
        <v>125</v>
      </c>
      <c r="I40" s="19"/>
      <c r="J40" s="18"/>
      <c r="K40" s="5" t="str">
        <f>"INSERT INTO m_code VALUES ("&amp;"'"&amp;B40&amp;"'"&amp;","&amp;E40&amp;","&amp;"'"&amp;C40&amp;"'"&amp;","&amp;"'"&amp;D40&amp;"'"&amp;","&amp;"'"&amp;F40&amp;"'"&amp;","&amp;G40&amp;","&amp;H40&amp;","&amp;"'"&amp;I40&amp;"'"&amp;");"</f>
        <v>INSERT INTO m_code VALUES ('code004',6,'回復','回復','',0,0.0,'');</v>
      </c>
    </row>
    <row r="41" spans="2:11">
      <c r="B41" s="43" t="s">
        <v>508</v>
      </c>
      <c r="C41" s="9" t="s">
        <v>57</v>
      </c>
      <c r="D41" s="9" t="s">
        <v>57</v>
      </c>
      <c r="E41" s="8">
        <f t="shared" si="3"/>
        <v>7</v>
      </c>
      <c r="F41" s="19"/>
      <c r="G41" s="9">
        <v>0</v>
      </c>
      <c r="H41" s="9" t="s">
        <v>125</v>
      </c>
      <c r="I41" s="19"/>
      <c r="J41" s="18"/>
      <c r="K41" s="5" t="str">
        <f>"INSERT INTO m_code VALUES ("&amp;"'"&amp;B41&amp;"'"&amp;","&amp;E41&amp;","&amp;"'"&amp;C41&amp;"'"&amp;","&amp;"'"&amp;D41&amp;"'"&amp;","&amp;"'"&amp;F41&amp;"'"&amp;","&amp;G41&amp;","&amp;H41&amp;","&amp;"'"&amp;I41&amp;"'"&amp;");"</f>
        <v>INSERT INTO m_code VALUES ('code004',7,'状態','状態','',0,0.0,'');</v>
      </c>
    </row>
    <row r="42" spans="2:11">
      <c r="B42" s="43" t="s">
        <v>508</v>
      </c>
      <c r="C42" s="9" t="s">
        <v>86</v>
      </c>
      <c r="D42" s="9" t="s">
        <v>1141</v>
      </c>
      <c r="E42" s="8">
        <f t="shared" si="3"/>
        <v>8</v>
      </c>
      <c r="F42" s="19"/>
      <c r="G42" s="9">
        <v>0</v>
      </c>
      <c r="H42" s="9" t="s">
        <v>125</v>
      </c>
      <c r="I42" s="19"/>
      <c r="J42" s="18"/>
      <c r="K42" s="5" t="str">
        <f>"INSERT INTO m_code VALUES ("&amp;"'"&amp;B42&amp;"'"&amp;","&amp;E42&amp;","&amp;"'"&amp;C42&amp;"'"&amp;","&amp;"'"&amp;D42&amp;"'"&amp;","&amp;"'"&amp;F42&amp;"'"&amp;","&amp;G42&amp;","&amp;H42&amp;","&amp;"'"&amp;I42&amp;"'"&amp;");"</f>
        <v>INSERT INTO m_code VALUES ('code004',8,'休み','休','',0,0.0,'');</v>
      </c>
    </row>
    <row r="43" spans="2:11">
      <c r="B43" s="6" t="s">
        <v>153</v>
      </c>
      <c r="C43" s="6" t="s">
        <v>1159</v>
      </c>
      <c r="D43" s="6" t="s">
        <v>1127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120</v>
      </c>
      <c r="J43" s="18"/>
    </row>
    <row r="44" spans="2:11">
      <c r="B44" s="43" t="s">
        <v>509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153</v>
      </c>
      <c r="C47" s="6" t="s">
        <v>1160</v>
      </c>
      <c r="D47" s="6" t="s">
        <v>1127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120</v>
      </c>
      <c r="J47" s="18"/>
    </row>
    <row r="48" spans="2:11">
      <c r="B48" s="43" t="s">
        <v>510</v>
      </c>
      <c r="C48" s="9" t="s">
        <v>196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510</v>
      </c>
      <c r="C49" s="9" t="s">
        <v>164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>"INSERT INTO m_code VALUES ("&amp;"'"&amp;B49&amp;"'"&amp;","&amp;E49&amp;","&amp;"'"&amp;C49&amp;"'"&amp;","&amp;"'"&amp;D49&amp;"'"&amp;","&amp;"'"&amp;F49&amp;"'"&amp;","&amp;G49&amp;","&amp;H49&amp;","&amp;"'"&amp;I49&amp;"'"&amp;");"</f>
        <v>INSERT INTO m_code VALUES ('code006',2,'カーミラ','','',0,0.0,'');</v>
      </c>
    </row>
    <row r="50" spans="2:11">
      <c r="B50" s="43" t="s">
        <v>510</v>
      </c>
      <c r="C50" s="9" t="s">
        <v>165</v>
      </c>
      <c r="D50" s="19"/>
      <c r="E50" s="8">
        <f t="shared" ref="E50:E79" si="4">E49+1</f>
        <v>3</v>
      </c>
      <c r="F50" s="19"/>
      <c r="G50" s="9">
        <v>0</v>
      </c>
      <c r="H50" s="9" t="s">
        <v>125</v>
      </c>
      <c r="I50" s="19"/>
      <c r="J50" s="18"/>
      <c r="K50" s="5" t="str">
        <f>"INSERT INTO m_code VALUES ("&amp;"'"&amp;B50&amp;"'"&amp;","&amp;E50&amp;","&amp;"'"&amp;C50&amp;"'"&amp;","&amp;"'"&amp;D50&amp;"'"&amp;","&amp;"'"&amp;F50&amp;"'"&amp;","&amp;G50&amp;","&amp;H50&amp;","&amp;"'"&amp;I50&amp;"'"&amp;");"</f>
        <v>INSERT INTO m_code VALUES ('code006',3,'デーモン','','',0,0.0,'');</v>
      </c>
    </row>
    <row r="51" spans="2:11">
      <c r="B51" s="43" t="s">
        <v>510</v>
      </c>
      <c r="C51" s="9" t="s">
        <v>99</v>
      </c>
      <c r="D51" s="19"/>
      <c r="E51" s="8">
        <f t="shared" si="4"/>
        <v>4</v>
      </c>
      <c r="F51" s="19"/>
      <c r="G51" s="9">
        <v>0</v>
      </c>
      <c r="H51" s="9" t="s">
        <v>125</v>
      </c>
      <c r="I51" s="19"/>
      <c r="J51" s="18"/>
      <c r="K51" s="5" t="str">
        <f>"INSERT INTO m_code VALUES ("&amp;"'"&amp;B51&amp;"'"&amp;","&amp;E51&amp;","&amp;"'"&amp;C51&amp;"'"&amp;","&amp;"'"&amp;D51&amp;"'"&amp;","&amp;"'"&amp;F51&amp;"'"&amp;","&amp;G51&amp;","&amp;H51&amp;","&amp;"'"&amp;I51&amp;"'"&amp;");"</f>
        <v>INSERT INTO m_code VALUES ('code006',4,'ゴブリン','','',0,0.0,'');</v>
      </c>
    </row>
    <row r="52" spans="2:11">
      <c r="B52" s="43" t="s">
        <v>510</v>
      </c>
      <c r="C52" s="9" t="s">
        <v>192</v>
      </c>
      <c r="D52" s="19"/>
      <c r="E52" s="8">
        <f t="shared" si="4"/>
        <v>5</v>
      </c>
      <c r="F52" s="19"/>
      <c r="G52" s="9">
        <v>0</v>
      </c>
      <c r="H52" s="9" t="s">
        <v>125</v>
      </c>
      <c r="I52" s="19"/>
      <c r="J52" s="18"/>
      <c r="K52" s="5" t="str">
        <f>"INSERT INTO m_code VALUES ("&amp;"'"&amp;B52&amp;"'"&amp;","&amp;E52&amp;","&amp;"'"&amp;C52&amp;"'"&amp;","&amp;"'"&amp;D52&amp;"'"&amp;","&amp;"'"&amp;F52&amp;"'"&amp;","&amp;G52&amp;","&amp;H52&amp;","&amp;"'"&amp;I52&amp;"'"&amp;");"</f>
        <v>INSERT INTO m_code VALUES ('code006',5,'マシンゴーレム','','',0,0.0,'');</v>
      </c>
    </row>
    <row r="53" spans="2:11">
      <c r="B53" s="43" t="s">
        <v>510</v>
      </c>
      <c r="C53" s="9" t="s">
        <v>166</v>
      </c>
      <c r="D53" s="19"/>
      <c r="E53" s="8">
        <f t="shared" si="4"/>
        <v>6</v>
      </c>
      <c r="F53" s="19"/>
      <c r="G53" s="9">
        <v>0</v>
      </c>
      <c r="H53" s="9" t="s">
        <v>125</v>
      </c>
      <c r="I53" s="19"/>
      <c r="J53" s="18"/>
      <c r="K53" s="5" t="str">
        <f>"INSERT INTO m_code VALUES ("&amp;"'"&amp;B53&amp;"'"&amp;","&amp;E53&amp;","&amp;"'"&amp;C53&amp;"'"&amp;","&amp;"'"&amp;D53&amp;"'"&amp;","&amp;"'"&amp;F53&amp;"'"&amp;","&amp;G53&amp;","&amp;H53&amp;","&amp;"'"&amp;I53&amp;"'"&amp;");"</f>
        <v>INSERT INTO m_code VALUES ('code006',6,'ハーピー','','',0,0.0,'');</v>
      </c>
    </row>
    <row r="54" spans="2:11">
      <c r="B54" s="43" t="s">
        <v>510</v>
      </c>
      <c r="C54" s="9" t="s">
        <v>195</v>
      </c>
      <c r="D54" s="19"/>
      <c r="E54" s="8">
        <f t="shared" si="4"/>
        <v>7</v>
      </c>
      <c r="F54" s="19"/>
      <c r="G54" s="9">
        <v>0</v>
      </c>
      <c r="H54" s="9" t="s">
        <v>125</v>
      </c>
      <c r="I54" s="19"/>
      <c r="J54" s="18"/>
      <c r="K54" s="5" t="str">
        <f>"INSERT INTO m_code VALUES ("&amp;"'"&amp;B54&amp;"'"&amp;","&amp;E54&amp;","&amp;"'"&amp;C54&amp;"'"&amp;","&amp;"'"&amp;D54&amp;"'"&amp;","&amp;"'"&amp;F54&amp;"'"&amp;","&amp;G54&amp;","&amp;H54&amp;","&amp;"'"&amp;I54&amp;"'"&amp;");"</f>
        <v>INSERT INTO m_code VALUES ('code006',7,'アーマーナイト','','',0,0.0,'');</v>
      </c>
    </row>
    <row r="55" spans="2:11">
      <c r="B55" s="43" t="s">
        <v>510</v>
      </c>
      <c r="C55" s="9" t="s">
        <v>100</v>
      </c>
      <c r="D55" s="19"/>
      <c r="E55" s="8">
        <f t="shared" si="4"/>
        <v>8</v>
      </c>
      <c r="F55" s="19"/>
      <c r="G55" s="9">
        <v>0</v>
      </c>
      <c r="H55" s="9" t="s">
        <v>125</v>
      </c>
      <c r="I55" s="19"/>
      <c r="J55" s="18"/>
      <c r="K55" s="5" t="str">
        <f>"INSERT INTO m_code VALUES ("&amp;"'"&amp;B55&amp;"'"&amp;","&amp;E55&amp;","&amp;"'"&amp;C55&amp;"'"&amp;","&amp;"'"&amp;D55&amp;"'"&amp;","&amp;"'"&amp;F55&amp;"'"&amp;","&amp;G55&amp;","&amp;H55&amp;","&amp;"'"&amp;I55&amp;"'"&amp;");"</f>
        <v>INSERT INTO m_code VALUES ('code006',8,'マジシャン','','',0,0.0,'');</v>
      </c>
    </row>
    <row r="56" spans="2:11">
      <c r="B56" s="43" t="s">
        <v>510</v>
      </c>
      <c r="C56" s="9" t="s">
        <v>193</v>
      </c>
      <c r="D56" s="19"/>
      <c r="E56" s="8">
        <f t="shared" si="4"/>
        <v>9</v>
      </c>
      <c r="F56" s="19"/>
      <c r="G56" s="9">
        <v>0</v>
      </c>
      <c r="H56" s="9" t="s">
        <v>125</v>
      </c>
      <c r="I56" s="19"/>
      <c r="J56" s="18"/>
      <c r="K56" s="5" t="str">
        <f>"INSERT INTO m_code VALUES ("&amp;"'"&amp;B56&amp;"'"&amp;","&amp;E56&amp;","&amp;"'"&amp;C56&amp;"'"&amp;","&amp;"'"&amp;D56&amp;"'"&amp;","&amp;"'"&amp;F56&amp;"'"&amp;","&amp;G56&amp;","&amp;H56&amp;","&amp;"'"&amp;I56&amp;"'"&amp;");"</f>
        <v>INSERT INTO m_code VALUES ('code006',9,'マイコニド','','',0,0.0,'');</v>
      </c>
    </row>
    <row r="57" spans="2:11">
      <c r="B57" s="43" t="s">
        <v>510</v>
      </c>
      <c r="C57" s="9" t="s">
        <v>167</v>
      </c>
      <c r="D57" s="19"/>
      <c r="E57" s="8">
        <f t="shared" si="4"/>
        <v>10</v>
      </c>
      <c r="F57" s="19"/>
      <c r="G57" s="9">
        <v>0</v>
      </c>
      <c r="H57" s="9" t="s">
        <v>125</v>
      </c>
      <c r="I57" s="19"/>
      <c r="J57" s="18"/>
      <c r="K57" s="5" t="str">
        <f>"INSERT INTO m_code VALUES ("&amp;"'"&amp;B57&amp;"'"&amp;","&amp;E57&amp;","&amp;"'"&amp;C57&amp;"'"&amp;","&amp;"'"&amp;D57&amp;"'"&amp;","&amp;"'"&amp;F57&amp;"'"&amp;","&amp;G57&amp;","&amp;H57&amp;","&amp;"'"&amp;I57&amp;"'"&amp;");"</f>
        <v>INSERT INTO m_code VALUES ('code006',10,'ニードルバード','','',0,0.0,'');</v>
      </c>
    </row>
    <row r="58" spans="2:11">
      <c r="B58" s="43" t="s">
        <v>510</v>
      </c>
      <c r="C58" s="9" t="s">
        <v>168</v>
      </c>
      <c r="D58" s="19"/>
      <c r="E58" s="8">
        <f t="shared" si="4"/>
        <v>11</v>
      </c>
      <c r="F58" s="19"/>
      <c r="G58" s="9">
        <v>0</v>
      </c>
      <c r="H58" s="9" t="s">
        <v>125</v>
      </c>
      <c r="I58" s="19"/>
      <c r="J58" s="18"/>
      <c r="K58" s="5" t="str">
        <f>"INSERT INTO m_code VALUES ("&amp;"'"&amp;B58&amp;"'"&amp;","&amp;E58&amp;","&amp;"'"&amp;C58&amp;"'"&amp;","&amp;"'"&amp;D58&amp;"'"&amp;","&amp;"'"&amp;F58&amp;"'"&amp;","&amp;G58&amp;","&amp;H58&amp;","&amp;"'"&amp;I58&amp;"'"&amp;");"</f>
        <v>INSERT INTO m_code VALUES ('code006',11,'プチドラゴン','','',0,0.0,'');</v>
      </c>
    </row>
    <row r="59" spans="2:11">
      <c r="B59" s="43" t="s">
        <v>510</v>
      </c>
      <c r="C59" s="9" t="s">
        <v>169</v>
      </c>
      <c r="D59" s="19"/>
      <c r="E59" s="8">
        <f t="shared" si="4"/>
        <v>12</v>
      </c>
      <c r="F59" s="19"/>
      <c r="G59" s="9">
        <v>0</v>
      </c>
      <c r="H59" s="9" t="s">
        <v>125</v>
      </c>
      <c r="I59" s="19"/>
      <c r="J59" s="18"/>
      <c r="K59" s="5" t="str">
        <f>"INSERT INTO m_code VALUES ("&amp;"'"&amp;B59&amp;"'"&amp;","&amp;E59&amp;","&amp;"'"&amp;C59&amp;"'"&amp;","&amp;"'"&amp;D59&amp;"'"&amp;","&amp;"'"&amp;F59&amp;"'"&amp;","&amp;G59&amp;","&amp;H59&amp;","&amp;"'"&amp;I59&amp;"'"&amp;");"</f>
        <v>INSERT INTO m_code VALUES ('code006',12,'ポト','','',0,0.0,'');</v>
      </c>
    </row>
    <row r="60" spans="2:11">
      <c r="B60" s="43" t="s">
        <v>510</v>
      </c>
      <c r="C60" s="9" t="s">
        <v>170</v>
      </c>
      <c r="D60" s="19"/>
      <c r="E60" s="8">
        <f t="shared" si="4"/>
        <v>13</v>
      </c>
      <c r="F60" s="19"/>
      <c r="G60" s="9">
        <v>0</v>
      </c>
      <c r="H60" s="9" t="s">
        <v>125</v>
      </c>
      <c r="I60" s="19"/>
      <c r="J60" s="18"/>
      <c r="K60" s="5" t="str">
        <f>"INSERT INTO m_code VALUES ("&amp;"'"&amp;B60&amp;"'"&amp;","&amp;E60&amp;","&amp;"'"&amp;C60&amp;"'"&amp;","&amp;"'"&amp;D60&amp;"'"&amp;","&amp;"'"&amp;F60&amp;"'"&amp;","&amp;G60&amp;","&amp;H60&amp;","&amp;"'"&amp;I60&amp;"'"&amp;");"</f>
        <v>INSERT INTO m_code VALUES ('code006',13,'プリースト','','',0,0.0,'');</v>
      </c>
    </row>
    <row r="61" spans="2:11">
      <c r="B61" s="43" t="s">
        <v>510</v>
      </c>
      <c r="C61" s="9" t="s">
        <v>172</v>
      </c>
      <c r="D61" s="19"/>
      <c r="E61" s="8">
        <f t="shared" si="4"/>
        <v>14</v>
      </c>
      <c r="F61" s="19"/>
      <c r="G61" s="9">
        <v>0</v>
      </c>
      <c r="H61" s="9" t="s">
        <v>125</v>
      </c>
      <c r="I61" s="19"/>
      <c r="J61" s="18"/>
      <c r="K61" s="5" t="str">
        <f>"INSERT INTO m_code VALUES ("&amp;"'"&amp;B61&amp;"'"&amp;","&amp;E61&amp;","&amp;"'"&amp;C61&amp;"'"&amp;","&amp;"'"&amp;D61&amp;"'"&amp;","&amp;"'"&amp;F61&amp;"'"&amp;","&amp;G61&amp;","&amp;H61&amp;","&amp;"'"&amp;I61&amp;"'"&amp;");"</f>
        <v>INSERT INTO m_code VALUES ('code006',14,'ラビ','','',0,0.0,'');</v>
      </c>
    </row>
    <row r="62" spans="2:11">
      <c r="B62" s="43" t="s">
        <v>510</v>
      </c>
      <c r="C62" s="9" t="s">
        <v>194</v>
      </c>
      <c r="D62" s="19"/>
      <c r="E62" s="8">
        <f t="shared" si="4"/>
        <v>15</v>
      </c>
      <c r="F62" s="19"/>
      <c r="G62" s="9">
        <v>0</v>
      </c>
      <c r="H62" s="9" t="s">
        <v>125</v>
      </c>
      <c r="I62" s="19"/>
      <c r="J62" s="18"/>
      <c r="K62" s="5" t="str">
        <f>"INSERT INTO m_code VALUES ("&amp;"'"&amp;B62&amp;"'"&amp;","&amp;E62&amp;","&amp;"'"&amp;C62&amp;"'"&amp;","&amp;"'"&amp;D62&amp;"'"&amp;","&amp;"'"&amp;F62&amp;"'"&amp;","&amp;G62&amp;","&amp;H62&amp;","&amp;"'"&amp;I62&amp;"'"&amp;");"</f>
        <v>INSERT INTO m_code VALUES ('code006',15,'グリーンスライム','','',0,0.0,'');</v>
      </c>
    </row>
    <row r="63" spans="2:11">
      <c r="B63" s="43" t="s">
        <v>510</v>
      </c>
      <c r="C63" s="9" t="s">
        <v>186</v>
      </c>
      <c r="D63" s="19"/>
      <c r="E63" s="8">
        <f t="shared" si="4"/>
        <v>16</v>
      </c>
      <c r="F63" s="19"/>
      <c r="G63" s="9">
        <v>0</v>
      </c>
      <c r="H63" s="9" t="s">
        <v>125</v>
      </c>
      <c r="I63" s="19"/>
      <c r="J63" s="18"/>
      <c r="K63" s="5" t="str">
        <f>"INSERT INTO m_code VALUES ("&amp;"'"&amp;B63&amp;"'"&amp;","&amp;E63&amp;","&amp;"'"&amp;C63&amp;"'"&amp;","&amp;"'"&amp;D63&amp;"'"&amp;","&amp;"'"&amp;F63&amp;"'"&amp;","&amp;G63&amp;","&amp;H63&amp;","&amp;"'"&amp;I63&amp;"'"&amp;");"</f>
        <v>INSERT INTO m_code VALUES ('code006',16,'イビルソード','','',0,0.0,'');</v>
      </c>
    </row>
    <row r="64" spans="2:11">
      <c r="B64" s="43" t="s">
        <v>510</v>
      </c>
      <c r="C64" s="8" t="s">
        <v>268</v>
      </c>
      <c r="D64" s="19"/>
      <c r="E64" s="8">
        <f t="shared" si="4"/>
        <v>17</v>
      </c>
      <c r="F64" s="19"/>
      <c r="G64" s="9">
        <v>0</v>
      </c>
      <c r="H64" s="9" t="s">
        <v>125</v>
      </c>
      <c r="I64" s="19"/>
      <c r="K64" s="5" t="str">
        <f>"INSERT INTO m_code VALUES ("&amp;"'"&amp;B64&amp;"'"&amp;","&amp;E64&amp;","&amp;"'"&amp;C64&amp;"'"&amp;","&amp;"'"&amp;D64&amp;"'"&amp;","&amp;"'"&amp;F64&amp;"'"&amp;","&amp;G64&amp;","&amp;H64&amp;","&amp;"'"&amp;I64&amp;"'"&amp;");"</f>
        <v>INSERT INTO m_code VALUES ('code006',17,'ウルフ','','',0,0.0,'');</v>
      </c>
    </row>
    <row r="65" spans="2:11">
      <c r="B65" s="43" t="s">
        <v>510</v>
      </c>
      <c r="C65" s="8" t="s">
        <v>272</v>
      </c>
      <c r="D65" s="19"/>
      <c r="E65" s="8">
        <f t="shared" si="4"/>
        <v>18</v>
      </c>
      <c r="F65" s="19"/>
      <c r="G65" s="9">
        <v>0</v>
      </c>
      <c r="H65" s="9" t="s">
        <v>125</v>
      </c>
      <c r="I65" s="19"/>
      <c r="K65" s="5" t="str">
        <f>"INSERT INTO m_code VALUES ("&amp;"'"&amp;B65&amp;"'"&amp;","&amp;E65&amp;","&amp;"'"&amp;C65&amp;"'"&amp;","&amp;"'"&amp;D65&amp;"'"&amp;","&amp;"'"&amp;F65&amp;"'"&amp;","&amp;G65&amp;","&amp;H65&amp;","&amp;"'"&amp;I65&amp;"'"&amp;");"</f>
        <v>INSERT INTO m_code VALUES ('code006',18,'ダック','','',0,0.0,'');</v>
      </c>
    </row>
    <row r="66" spans="2:11">
      <c r="B66" s="43" t="s">
        <v>510</v>
      </c>
      <c r="C66" s="8" t="s">
        <v>236</v>
      </c>
      <c r="D66" s="19"/>
      <c r="E66" s="8">
        <f t="shared" si="4"/>
        <v>19</v>
      </c>
      <c r="F66" s="19"/>
      <c r="G66" s="9">
        <v>0</v>
      </c>
      <c r="H66" s="9" t="s">
        <v>125</v>
      </c>
      <c r="I66" s="19"/>
      <c r="K66" s="5" t="str">
        <f>"INSERT INTO m_code VALUES ("&amp;"'"&amp;B66&amp;"'"&amp;","&amp;E66&amp;","&amp;"'"&amp;C66&amp;"'"&amp;","&amp;"'"&amp;D66&amp;"'"&amp;","&amp;"'"&amp;F66&amp;"'"&amp;","&amp;G66&amp;","&amp;H66&amp;","&amp;"'"&amp;I66&amp;"'"&amp;");"</f>
        <v>INSERT INTO m_code VALUES ('code006',19,'モールベア','','',0,0.0,'');</v>
      </c>
    </row>
    <row r="67" spans="2:11">
      <c r="B67" s="43" t="s">
        <v>510</v>
      </c>
      <c r="C67" s="8" t="s">
        <v>197</v>
      </c>
      <c r="D67" s="19"/>
      <c r="E67" s="8">
        <f t="shared" si="4"/>
        <v>20</v>
      </c>
      <c r="F67" s="19"/>
      <c r="G67" s="9">
        <v>0</v>
      </c>
      <c r="H67" s="9" t="s">
        <v>125</v>
      </c>
      <c r="I67" s="19"/>
      <c r="K67" s="5" t="str">
        <f>"INSERT INTO m_code VALUES ("&amp;"'"&amp;B67&amp;"'"&amp;","&amp;E67&amp;","&amp;"'"&amp;C67&amp;"'"&amp;","&amp;"'"&amp;D67&amp;"'"&amp;","&amp;"'"&amp;F67&amp;"'"&amp;","&amp;G67&amp;","&amp;H67&amp;","&amp;"'"&amp;I67&amp;"'"&amp;");"</f>
        <v>INSERT INTO m_code VALUES ('code006',20,'ギャルビー','','',0,0.0,'');</v>
      </c>
    </row>
    <row r="68" spans="2:11">
      <c r="B68" s="43" t="s">
        <v>510</v>
      </c>
      <c r="C68" s="8" t="s">
        <v>240</v>
      </c>
      <c r="D68" s="19"/>
      <c r="E68" s="8">
        <f t="shared" si="4"/>
        <v>21</v>
      </c>
      <c r="F68" s="19"/>
      <c r="G68" s="9">
        <v>0</v>
      </c>
      <c r="H68" s="9" t="s">
        <v>125</v>
      </c>
      <c r="I68" s="19"/>
      <c r="K68" s="5" t="str">
        <f>"INSERT INTO m_code VALUES ("&amp;"'"&amp;B68&amp;"'"&amp;","&amp;E68&amp;","&amp;"'"&amp;C68&amp;"'"&amp;","&amp;"'"&amp;D68&amp;"'"&amp;","&amp;"'"&amp;F68&amp;"'"&amp;","&amp;G68&amp;","&amp;H68&amp;","&amp;"'"&amp;I68&amp;"'"&amp;");"</f>
        <v>INSERT INTO m_code VALUES ('code006',21,'サハギン','','',0,0.0,'');</v>
      </c>
    </row>
    <row r="69" spans="2:11">
      <c r="B69" s="43" t="s">
        <v>510</v>
      </c>
      <c r="C69" s="8" t="s">
        <v>198</v>
      </c>
      <c r="D69" s="19"/>
      <c r="E69" s="8">
        <f t="shared" si="4"/>
        <v>22</v>
      </c>
      <c r="F69" s="19"/>
      <c r="G69" s="9">
        <v>0</v>
      </c>
      <c r="H69" s="9" t="s">
        <v>125</v>
      </c>
      <c r="I69" s="19"/>
      <c r="K69" s="5" t="str">
        <f>"INSERT INTO m_code VALUES ("&amp;"'"&amp;B69&amp;"'"&amp;","&amp;E69&amp;","&amp;"'"&amp;C69&amp;"'"&amp;","&amp;"'"&amp;D69&amp;"'"&amp;","&amp;"'"&amp;F69&amp;"'"&amp;","&amp;G69&amp;","&amp;H69&amp;","&amp;"'"&amp;I69&amp;"'"&amp;");"</f>
        <v>INSERT INTO m_code VALUES ('code006',22,'クロウラー','','',0,0.0,'');</v>
      </c>
    </row>
    <row r="70" spans="2:11">
      <c r="B70" s="43" t="s">
        <v>510</v>
      </c>
      <c r="C70" s="8" t="s">
        <v>281</v>
      </c>
      <c r="D70" s="19"/>
      <c r="E70" s="8">
        <f t="shared" si="4"/>
        <v>23</v>
      </c>
      <c r="F70" s="19"/>
      <c r="G70" s="9">
        <v>0</v>
      </c>
      <c r="H70" s="9" t="s">
        <v>125</v>
      </c>
      <c r="I70" s="19"/>
      <c r="K70" s="5" t="str">
        <f>"INSERT INTO m_code VALUES ("&amp;"'"&amp;B70&amp;"'"&amp;","&amp;E70&amp;","&amp;"'"&amp;C70&amp;"'"&amp;","&amp;"'"&amp;D70&amp;"'"&amp;","&amp;"'"&amp;F70&amp;"'"&amp;","&amp;G70&amp;","&amp;H70&amp;","&amp;"'"&amp;I70&amp;"'"&amp;");"</f>
        <v>INSERT INTO m_code VALUES ('code006',23,'パックン','','',0,0.0,'');</v>
      </c>
    </row>
    <row r="71" spans="2:11">
      <c r="B71" s="43" t="s">
        <v>510</v>
      </c>
      <c r="C71" s="8" t="s">
        <v>243</v>
      </c>
      <c r="D71" s="19"/>
      <c r="E71" s="8">
        <f t="shared" si="4"/>
        <v>24</v>
      </c>
      <c r="F71" s="19"/>
      <c r="G71" s="9">
        <v>0</v>
      </c>
      <c r="H71" s="9" t="s">
        <v>125</v>
      </c>
      <c r="I71" s="19"/>
      <c r="K71" s="5" t="str">
        <f>"INSERT INTO m_code VALUES ("&amp;"'"&amp;B71&amp;"'"&amp;","&amp;E71&amp;","&amp;"'"&amp;C71&amp;"'"&amp;","&amp;"'"&amp;D71&amp;"'"&amp;","&amp;"'"&amp;F71&amp;"'"&amp;","&amp;G71&amp;","&amp;H71&amp;","&amp;"'"&amp;I71&amp;"'"&amp;");"</f>
        <v>INSERT INTO m_code VALUES ('code006',24,'チビデビル','','',0,0.0,'');</v>
      </c>
    </row>
    <row r="72" spans="2:11">
      <c r="B72" s="43" t="s">
        <v>510</v>
      </c>
      <c r="C72" s="8" t="s">
        <v>245</v>
      </c>
      <c r="D72" s="19"/>
      <c r="E72" s="8">
        <f t="shared" si="4"/>
        <v>25</v>
      </c>
      <c r="F72" s="19"/>
      <c r="G72" s="9">
        <v>0</v>
      </c>
      <c r="H72" s="9" t="s">
        <v>125</v>
      </c>
      <c r="I72" s="19"/>
      <c r="K72" s="5" t="str">
        <f>"INSERT INTO m_code VALUES ("&amp;"'"&amp;B72&amp;"'"&amp;","&amp;E72&amp;","&amp;"'"&amp;C72&amp;"'"&amp;","&amp;"'"&amp;D72&amp;"'"&amp;","&amp;"'"&amp;F72&amp;"'"&amp;","&amp;G72&amp;","&amp;H72&amp;","&amp;"'"&amp;I72&amp;"'"&amp;");"</f>
        <v>INSERT INTO m_code VALUES ('code006',25,'オーガボックス','','',0,0.0,'');</v>
      </c>
    </row>
    <row r="73" spans="2:11">
      <c r="B73" s="43" t="s">
        <v>510</v>
      </c>
      <c r="C73" s="8" t="s">
        <v>247</v>
      </c>
      <c r="D73" s="19"/>
      <c r="E73" s="8">
        <f t="shared" si="4"/>
        <v>26</v>
      </c>
      <c r="F73" s="19"/>
      <c r="G73" s="9">
        <v>0</v>
      </c>
      <c r="H73" s="9" t="s">
        <v>125</v>
      </c>
      <c r="I73" s="19"/>
      <c r="K73" s="5" t="str">
        <f>"INSERT INTO m_code VALUES ("&amp;"'"&amp;B73&amp;"'"&amp;","&amp;E73&amp;","&amp;"'"&amp;C73&amp;"'"&amp;","&amp;"'"&amp;D73&amp;"'"&amp;","&amp;"'"&amp;F73&amp;"'"&amp;","&amp;G73&amp;","&amp;H73&amp;","&amp;"'"&amp;I73&amp;"'"&amp;");"</f>
        <v>INSERT INTO m_code VALUES ('code006',26,'バレッテ','','',0,0.0,'');</v>
      </c>
    </row>
    <row r="74" spans="2:11">
      <c r="B74" s="43" t="s">
        <v>510</v>
      </c>
      <c r="C74" s="8" t="s">
        <v>249</v>
      </c>
      <c r="D74" s="19"/>
      <c r="E74" s="8">
        <f t="shared" si="4"/>
        <v>27</v>
      </c>
      <c r="F74" s="19"/>
      <c r="G74" s="9">
        <v>0</v>
      </c>
      <c r="H74" s="9" t="s">
        <v>125</v>
      </c>
      <c r="I74" s="19"/>
      <c r="K74" s="5" t="str">
        <f>"INSERT INTO m_code VALUES ("&amp;"'"&amp;B74&amp;"'"&amp;","&amp;E74&amp;","&amp;"'"&amp;C74&amp;"'"&amp;","&amp;"'"&amp;D74&amp;"'"&amp;","&amp;"'"&amp;F74&amp;"'"&amp;","&amp;G74&amp;","&amp;H74&amp;","&amp;"'"&amp;I74&amp;"'"&amp;");"</f>
        <v>INSERT INTO m_code VALUES ('code006',27,'バシリスク','','',0,0.0,'');</v>
      </c>
    </row>
    <row r="75" spans="2:11">
      <c r="B75" s="43" t="s">
        <v>510</v>
      </c>
      <c r="C75" s="8" t="s">
        <v>251</v>
      </c>
      <c r="D75" s="19"/>
      <c r="E75" s="8">
        <f t="shared" si="4"/>
        <v>28</v>
      </c>
      <c r="F75" s="19"/>
      <c r="G75" s="9">
        <v>0</v>
      </c>
      <c r="H75" s="9" t="s">
        <v>125</v>
      </c>
      <c r="I75" s="19"/>
      <c r="K75" s="5" t="str">
        <f>"INSERT INTO m_code VALUES ("&amp;"'"&amp;B75&amp;"'"&amp;","&amp;E75&amp;","&amp;"'"&amp;C75&amp;"'"&amp;","&amp;"'"&amp;D75&amp;"'"&amp;","&amp;"'"&amp;F75&amp;"'"&amp;","&amp;G75&amp;","&amp;H75&amp;","&amp;"'"&amp;I75&amp;"'"&amp;");"</f>
        <v>INSERT INTO m_code VALUES ('code006',28,'スペクター','','',0,0.0,'');</v>
      </c>
    </row>
    <row r="76" spans="2:11">
      <c r="B76" s="43" t="s">
        <v>510</v>
      </c>
      <c r="C76" s="8" t="s">
        <v>254</v>
      </c>
      <c r="D76" s="19"/>
      <c r="E76" s="8">
        <f t="shared" si="4"/>
        <v>29</v>
      </c>
      <c r="F76" s="19"/>
      <c r="G76" s="9">
        <v>0</v>
      </c>
      <c r="H76" s="9" t="s">
        <v>125</v>
      </c>
      <c r="I76" s="19"/>
      <c r="K76" s="5" t="str">
        <f>"INSERT INTO m_code VALUES ("&amp;"'"&amp;B76&amp;"'"&amp;","&amp;E76&amp;","&amp;"'"&amp;C76&amp;"'"&amp;","&amp;"'"&amp;D76&amp;"'"&amp;","&amp;"'"&amp;F76&amp;"'"&amp;","&amp;G76&amp;","&amp;H76&amp;","&amp;"'"&amp;I76&amp;"'"&amp;");"</f>
        <v>INSERT INTO m_code VALUES ('code006',29,'ユニコーンヘッド','','',0,0.0,'');</v>
      </c>
    </row>
    <row r="77" spans="2:11">
      <c r="B77" s="43" t="s">
        <v>510</v>
      </c>
      <c r="C77" s="8" t="s">
        <v>200</v>
      </c>
      <c r="D77" s="19"/>
      <c r="E77" s="8">
        <f t="shared" si="4"/>
        <v>30</v>
      </c>
      <c r="F77" s="19"/>
      <c r="G77" s="9">
        <v>0</v>
      </c>
      <c r="H77" s="9" t="s">
        <v>125</v>
      </c>
      <c r="I77" s="19"/>
      <c r="K77" s="5" t="str">
        <f>"INSERT INTO m_code VALUES ("&amp;"'"&amp;B77&amp;"'"&amp;","&amp;E77&amp;","&amp;"'"&amp;C77&amp;"'"&amp;","&amp;"'"&amp;D77&amp;"'"&amp;","&amp;"'"&amp;F77&amp;"'"&amp;","&amp;G77&amp;","&amp;H77&amp;","&amp;"'"&amp;I77&amp;"'"&amp;");"</f>
        <v>INSERT INTO m_code VALUES ('code006',30,'シェイプシフター','','',0,0.0,'');</v>
      </c>
    </row>
    <row r="78" spans="2:11">
      <c r="B78" s="43" t="s">
        <v>510</v>
      </c>
      <c r="C78" s="8" t="s">
        <v>202</v>
      </c>
      <c r="D78" s="19"/>
      <c r="E78" s="8">
        <f t="shared" si="4"/>
        <v>31</v>
      </c>
      <c r="F78" s="19"/>
      <c r="G78" s="9">
        <v>0</v>
      </c>
      <c r="H78" s="9" t="s">
        <v>125</v>
      </c>
      <c r="I78" s="19"/>
      <c r="K78" s="5" t="str">
        <f>"INSERT INTO m_code VALUES ("&amp;"'"&amp;B78&amp;"'"&amp;","&amp;E78&amp;","&amp;"'"&amp;C78&amp;"'"&amp;","&amp;"'"&amp;D78&amp;"'"&amp;","&amp;"'"&amp;F78&amp;"'"&amp;","&amp;G78&amp;","&amp;H78&amp;","&amp;"'"&amp;I78&amp;"'"&amp;");"</f>
        <v>INSERT INTO m_code VALUES ('code006',31,'ボルダー','','',0,0.0,'');</v>
      </c>
    </row>
    <row r="79" spans="2:11">
      <c r="B79" s="43" t="s">
        <v>510</v>
      </c>
      <c r="C79" s="8" t="s">
        <v>286</v>
      </c>
      <c r="D79" s="19"/>
      <c r="E79" s="8">
        <f t="shared" si="4"/>
        <v>32</v>
      </c>
      <c r="F79" s="19"/>
      <c r="G79" s="9">
        <v>0</v>
      </c>
      <c r="H79" s="9" t="s">
        <v>125</v>
      </c>
      <c r="I79" s="19"/>
      <c r="K79" s="5" t="str">
        <f>"INSERT INTO m_code VALUES ("&amp;"'"&amp;B79&amp;"'"&amp;","&amp;E79&amp;","&amp;"'"&amp;C79&amp;"'"&amp;","&amp;"'"&amp;D79&amp;"'"&amp;","&amp;"'"&amp;F79&amp;"'"&amp;","&amp;G79&amp;","&amp;H79&amp;","&amp;"'"&amp;I79&amp;"'"&amp;");"</f>
        <v>INSERT INTO m_code VALUES ('code006',32,'パンプキンボム','','',0,0.0,'');</v>
      </c>
    </row>
    <row r="80" spans="2:11">
      <c r="B80" s="6" t="s">
        <v>153</v>
      </c>
      <c r="C80" s="6" t="s">
        <v>1161</v>
      </c>
      <c r="D80" s="6" t="s">
        <v>1127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120</v>
      </c>
    </row>
    <row r="81" spans="2:11">
      <c r="B81" s="43" t="s">
        <v>511</v>
      </c>
      <c r="C81" s="8" t="s">
        <v>337</v>
      </c>
      <c r="D81" s="8" t="s">
        <v>1142</v>
      </c>
      <c r="E81" s="8">
        <v>1</v>
      </c>
      <c r="F81" s="19"/>
      <c r="G81" s="9">
        <v>0</v>
      </c>
      <c r="H81" s="9" t="s">
        <v>125</v>
      </c>
      <c r="I81" s="19"/>
      <c r="K81" s="5" t="str">
        <f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511</v>
      </c>
      <c r="C82" s="8" t="s">
        <v>339</v>
      </c>
      <c r="D82" s="8" t="s">
        <v>1143</v>
      </c>
      <c r="E82" s="8">
        <v>2</v>
      </c>
      <c r="F82" s="19"/>
      <c r="G82" s="9">
        <v>0</v>
      </c>
      <c r="H82" s="9" t="s">
        <v>125</v>
      </c>
      <c r="I82" s="19"/>
      <c r="K82" s="5" t="str">
        <f>"INSERT INTO m_code VALUES ("&amp;"'"&amp;B82&amp;"'"&amp;","&amp;E82&amp;","&amp;"'"&amp;C82&amp;"'"&amp;","&amp;"'"&amp;D82&amp;"'"&amp;","&amp;"'"&amp;F82&amp;"'"&amp;","&amp;G82&amp;","&amp;H82&amp;","&amp;"'"&amp;I82&amp;"'"&amp;");"</f>
        <v>INSERT INTO m_code VALUES ('code007',2,'優良','優','',0,0.0,'');</v>
      </c>
    </row>
    <row r="83" spans="2:11">
      <c r="B83" s="43" t="s">
        <v>511</v>
      </c>
      <c r="C83" s="8" t="s">
        <v>340</v>
      </c>
      <c r="D83" s="8" t="s">
        <v>1144</v>
      </c>
      <c r="E83" s="8">
        <v>3</v>
      </c>
      <c r="F83" s="19"/>
      <c r="G83" s="9">
        <v>0</v>
      </c>
      <c r="H83" s="9" t="s">
        <v>125</v>
      </c>
      <c r="I83" s="19"/>
      <c r="K83" s="5" t="str">
        <f>"INSERT INTO m_code VALUES ("&amp;"'"&amp;B83&amp;"'"&amp;","&amp;E83&amp;","&amp;"'"&amp;C83&amp;"'"&amp;","&amp;"'"&amp;D83&amp;"'"&amp;","&amp;"'"&amp;F83&amp;"'"&amp;","&amp;G83&amp;","&amp;H83&amp;","&amp;"'"&amp;I83&amp;"'"&amp;");"</f>
        <v>INSERT INTO m_code VALUES ('code007',3,'カモ','カ','',0,0.0,'');</v>
      </c>
    </row>
    <row r="84" spans="2:11">
      <c r="B84" s="43" t="s">
        <v>511</v>
      </c>
      <c r="C84" s="8" t="s">
        <v>338</v>
      </c>
      <c r="D84" s="8" t="s">
        <v>1145</v>
      </c>
      <c r="E84" s="8">
        <v>4</v>
      </c>
      <c r="F84" s="19"/>
      <c r="G84" s="9">
        <v>0</v>
      </c>
      <c r="H84" s="9" t="s">
        <v>125</v>
      </c>
      <c r="I84" s="19"/>
      <c r="K84" s="5" t="str">
        <f>"INSERT INTO m_code VALUES ("&amp;"'"&amp;B84&amp;"'"&amp;","&amp;E84&amp;","&amp;"'"&amp;C84&amp;"'"&amp;","&amp;"'"&amp;D84&amp;"'"&amp;","&amp;"'"&amp;F84&amp;"'"&amp;","&amp;G84&amp;","&amp;H84&amp;","&amp;"'"&amp;I84&amp;"'"&amp;");"</f>
        <v>INSERT INTO m_code VALUES ('code007',4,'要注意','要','',0,0.0,'');</v>
      </c>
    </row>
    <row r="85" spans="2:11">
      <c r="B85" s="43" t="s">
        <v>511</v>
      </c>
      <c r="C85" s="8" t="s">
        <v>341</v>
      </c>
      <c r="D85" s="8" t="s">
        <v>1146</v>
      </c>
      <c r="E85" s="8">
        <v>5</v>
      </c>
      <c r="F85" s="19"/>
      <c r="G85" s="9">
        <v>0</v>
      </c>
      <c r="H85" s="9" t="s">
        <v>125</v>
      </c>
      <c r="I85" s="19"/>
      <c r="K85" s="5" t="str">
        <f>"INSERT INTO m_code VALUES ("&amp;"'"&amp;B85&amp;"'"&amp;","&amp;E85&amp;","&amp;"'"&amp;C85&amp;"'"&amp;","&amp;"'"&amp;D85&amp;"'"&amp;","&amp;"'"&amp;F85&amp;"'"&amp;","&amp;G85&amp;","&amp;H85&amp;","&amp;"'"&amp;I85&amp;"'"&amp;");"</f>
        <v>INSERT INTO m_code VALUES ('code007',5,'ブラックリスト','ブ','',0,0.0,'');</v>
      </c>
    </row>
    <row r="86" spans="2:11">
      <c r="B86" s="43" t="s">
        <v>511</v>
      </c>
      <c r="C86" s="8" t="s">
        <v>342</v>
      </c>
      <c r="D86" s="8" t="s">
        <v>1147</v>
      </c>
      <c r="E86" s="8">
        <v>90</v>
      </c>
      <c r="F86" s="19"/>
      <c r="G86" s="9">
        <v>0</v>
      </c>
      <c r="H86" s="9" t="s">
        <v>125</v>
      </c>
      <c r="I86" s="19"/>
      <c r="K86" s="5" t="str">
        <f>"INSERT INTO m_code VALUES ("&amp;"'"&amp;B86&amp;"'"&amp;","&amp;E86&amp;","&amp;"'"&amp;C86&amp;"'"&amp;","&amp;"'"&amp;D86&amp;"'"&amp;","&amp;"'"&amp;F86&amp;"'"&amp;","&amp;G86&amp;","&amp;H86&amp;","&amp;"'"&amp;I86&amp;"'"&amp;");"</f>
        <v>INSERT INTO m_code VALUES ('code007',90,'管理者','管','',0,0.0,'');</v>
      </c>
    </row>
    <row r="87" spans="2:11">
      <c r="B87" s="43" t="s">
        <v>511</v>
      </c>
      <c r="C87" s="8" t="s">
        <v>343</v>
      </c>
      <c r="D87" s="8" t="s">
        <v>1148</v>
      </c>
      <c r="E87" s="8">
        <v>91</v>
      </c>
      <c r="F87" s="19"/>
      <c r="G87" s="9">
        <v>0</v>
      </c>
      <c r="H87" s="9" t="s">
        <v>125</v>
      </c>
      <c r="I87" s="19"/>
      <c r="K87" s="5" t="str">
        <f>"INSERT INTO m_code VALUES ("&amp;"'"&amp;B87&amp;"'"&amp;","&amp;E87&amp;","&amp;"'"&amp;C87&amp;"'"&amp;","&amp;"'"&amp;D87&amp;"'"&amp;","&amp;"'"&amp;F87&amp;"'"&amp;","&amp;G87&amp;","&amp;H87&amp;","&amp;"'"&amp;I87&amp;"'"&amp;");"</f>
        <v>INSERT INTO m_code VALUES ('code007',91,'統括管理者','統','',0,0.0,'');</v>
      </c>
    </row>
    <row r="88" spans="2:11">
      <c r="B88" s="6" t="s">
        <v>153</v>
      </c>
      <c r="C88" s="6" t="s">
        <v>1162</v>
      </c>
      <c r="D88" s="6" t="s">
        <v>1127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120</v>
      </c>
    </row>
    <row r="89" spans="2:11">
      <c r="B89" s="43" t="s">
        <v>1119</v>
      </c>
      <c r="C89" s="8" t="s">
        <v>1120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1119</v>
      </c>
      <c r="C90" s="8" t="s">
        <v>1109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1119</v>
      </c>
      <c r="C91" s="8" t="s">
        <v>1121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7" spans="16:16">
      <c r="P97" s="5">
        <v>444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tabSelected="1" workbookViewId="0">
      <pane xSplit="1" ySplit="3" topLeftCell="B40" activePane="bottomRight" state="frozen"/>
      <selection pane="topRight" activeCell="B1" sqref="B1"/>
      <selection pane="bottomLeft" activeCell="A5" sqref="A5"/>
      <selection pane="bottomRight" activeCell="L46" sqref="L46"/>
    </sheetView>
  </sheetViews>
  <sheetFormatPr defaultRowHeight="13.5"/>
  <cols>
    <col min="1" max="2" width="7.5" style="5" customWidth="1"/>
    <col min="3" max="3" width="13.75" style="5" customWidth="1"/>
    <col min="4" max="4" width="20" style="5" customWidth="1"/>
    <col min="5" max="5" width="30.625" style="5" hidden="1" customWidth="1"/>
    <col min="6" max="6" width="13.37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9.25" style="18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344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163</v>
      </c>
      <c r="L3" s="12" t="s">
        <v>124</v>
      </c>
      <c r="M3" s="12" t="s">
        <v>1170</v>
      </c>
      <c r="N3" s="12" t="s">
        <v>191</v>
      </c>
      <c r="O3" s="11" t="s">
        <v>26</v>
      </c>
    </row>
    <row r="4" spans="3:17">
      <c r="C4" s="43" t="s">
        <v>1041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1042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1065</v>
      </c>
      <c r="D6" s="13" t="s">
        <v>106</v>
      </c>
      <c r="E6" s="40" t="s">
        <v>345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1038</v>
      </c>
      <c r="D7" s="13" t="s">
        <v>92</v>
      </c>
      <c r="E7" s="40" t="s">
        <v>346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1021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173</v>
      </c>
      <c r="K8" s="14" t="s">
        <v>173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1020</v>
      </c>
      <c r="D9" s="13" t="s">
        <v>103</v>
      </c>
      <c r="E9" s="5" t="s">
        <v>347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1030</v>
      </c>
      <c r="D10" s="13" t="s">
        <v>104</v>
      </c>
      <c r="E10" s="5" t="s">
        <v>348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233</v>
      </c>
      <c r="K10" s="14" t="s">
        <v>233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1060</v>
      </c>
      <c r="D11" s="13" t="s">
        <v>102</v>
      </c>
      <c r="E11" s="5" t="s">
        <v>349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234</v>
      </c>
      <c r="K11" s="14" t="s">
        <v>234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1017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1025</v>
      </c>
      <c r="D13" s="13" t="s">
        <v>108</v>
      </c>
      <c r="E13" s="5" t="s">
        <v>350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1032</v>
      </c>
      <c r="D14" s="13" t="s">
        <v>109</v>
      </c>
      <c r="E14" s="5" t="s">
        <v>351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1049</v>
      </c>
      <c r="D15" s="13" t="s">
        <v>93</v>
      </c>
      <c r="E15" s="5" t="s">
        <v>352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1026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173</v>
      </c>
      <c r="K16" s="14" t="s">
        <v>173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1048</v>
      </c>
      <c r="D17" s="13" t="s">
        <v>105</v>
      </c>
      <c r="E17" s="5" t="s">
        <v>353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1050</v>
      </c>
      <c r="D18" s="13" t="s">
        <v>107</v>
      </c>
      <c r="E18" s="5" t="s">
        <v>354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233</v>
      </c>
      <c r="K18" s="14" t="s">
        <v>233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1052</v>
      </c>
      <c r="D19" s="13" t="s">
        <v>131</v>
      </c>
      <c r="E19" s="5" t="s">
        <v>355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234</v>
      </c>
      <c r="K19" s="14" t="s">
        <v>234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1043</v>
      </c>
      <c r="D20" s="13" t="s">
        <v>39</v>
      </c>
      <c r="E20" s="5" t="s">
        <v>356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1045</v>
      </c>
      <c r="D21" s="13" t="s">
        <v>40</v>
      </c>
      <c r="E21" s="5" t="s">
        <v>357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1055</v>
      </c>
      <c r="D22" s="13" t="s">
        <v>41</v>
      </c>
      <c r="E22" s="5" t="s">
        <v>358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1028</v>
      </c>
      <c r="D23" s="13" t="s">
        <v>42</v>
      </c>
      <c r="E23" s="5" t="s">
        <v>359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1031</v>
      </c>
      <c r="D24" s="13" t="s">
        <v>43</v>
      </c>
      <c r="E24" s="5" t="s">
        <v>360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1056</v>
      </c>
      <c r="D25" s="13" t="s">
        <v>44</v>
      </c>
      <c r="E25" s="5" t="s">
        <v>365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1044</v>
      </c>
      <c r="D26" s="13" t="s">
        <v>38</v>
      </c>
      <c r="E26" s="5" t="s">
        <v>361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1046</v>
      </c>
      <c r="D27" s="13" t="s">
        <v>45</v>
      </c>
      <c r="E27" s="5" t="s">
        <v>362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1047</v>
      </c>
      <c r="D28" s="13" t="s">
        <v>46</v>
      </c>
      <c r="E28" s="5" t="s">
        <v>366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1019</v>
      </c>
      <c r="D29" s="13" t="s">
        <v>47</v>
      </c>
      <c r="E29" s="5" t="s">
        <v>363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1022</v>
      </c>
      <c r="D30" s="13" t="s">
        <v>48</v>
      </c>
      <c r="E30" s="5" t="s">
        <v>364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1024</v>
      </c>
      <c r="D31" s="13" t="s">
        <v>55</v>
      </c>
      <c r="E31" s="5" t="s">
        <v>402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1063</v>
      </c>
      <c r="D32" s="13" t="s">
        <v>49</v>
      </c>
      <c r="E32" s="5" t="s">
        <v>367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1064</v>
      </c>
      <c r="D33" s="13" t="s">
        <v>50</v>
      </c>
      <c r="E33" s="5" t="s">
        <v>368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1067</v>
      </c>
      <c r="D34" s="13" t="s">
        <v>51</v>
      </c>
      <c r="E34" s="5" t="s">
        <v>369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1033</v>
      </c>
      <c r="D35" s="13" t="s">
        <v>52</v>
      </c>
      <c r="E35" s="5" t="s">
        <v>370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1099</v>
      </c>
      <c r="D36" s="13" t="s">
        <v>53</v>
      </c>
      <c r="E36" s="5" t="s">
        <v>371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1036</v>
      </c>
      <c r="D37" s="13" t="s">
        <v>54</v>
      </c>
      <c r="E37" s="5" t="s">
        <v>372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1053</v>
      </c>
      <c r="D38" s="13" t="s">
        <v>60</v>
      </c>
      <c r="E38" s="5" t="s">
        <v>373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1037</v>
      </c>
      <c r="D39" s="13" t="s">
        <v>61</v>
      </c>
      <c r="E39" s="5" t="s">
        <v>374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1068</v>
      </c>
      <c r="D40" s="13" t="s">
        <v>62</v>
      </c>
      <c r="E40" s="5" t="s">
        <v>375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40.5">
      <c r="C41" s="47" t="s">
        <v>1057</v>
      </c>
      <c r="D41" s="13" t="s">
        <v>64</v>
      </c>
      <c r="E41" s="5" t="s">
        <v>376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1062</v>
      </c>
      <c r="D42" s="9" t="s">
        <v>66</v>
      </c>
      <c r="E42" s="5" t="s">
        <v>377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1051</v>
      </c>
      <c r="D43" s="9" t="s">
        <v>67</v>
      </c>
      <c r="E43" s="5" t="s">
        <v>378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1061</v>
      </c>
      <c r="D44" s="9" t="s">
        <v>68</v>
      </c>
      <c r="E44" s="5" t="s">
        <v>379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1066</v>
      </c>
      <c r="D45" s="9" t="s">
        <v>70</v>
      </c>
      <c r="E45" s="5" t="s">
        <v>380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1029</v>
      </c>
      <c r="D46" s="9" t="s">
        <v>72</v>
      </c>
      <c r="E46" s="5" t="s">
        <v>381</v>
      </c>
      <c r="F46" s="9" t="s">
        <v>57</v>
      </c>
      <c r="G46" s="13" t="s">
        <v>128</v>
      </c>
      <c r="H46" s="9" t="s">
        <v>1125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1123</v>
      </c>
      <c r="D47" s="9" t="s">
        <v>74</v>
      </c>
      <c r="E47" s="5" t="s">
        <v>382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1058</v>
      </c>
      <c r="D48" s="9" t="s">
        <v>75</v>
      </c>
      <c r="E48" s="5" t="s">
        <v>386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1059</v>
      </c>
      <c r="D49" s="9" t="s">
        <v>76</v>
      </c>
      <c r="E49" s="5" t="s">
        <v>383</v>
      </c>
      <c r="F49" s="9" t="s">
        <v>57</v>
      </c>
      <c r="G49" s="13" t="s">
        <v>128</v>
      </c>
      <c r="H49" s="9" t="s">
        <v>1124</v>
      </c>
      <c r="I49" s="9" t="s">
        <v>27</v>
      </c>
      <c r="J49" s="16">
        <v>0</v>
      </c>
      <c r="K49" s="14" t="s">
        <v>158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1039</v>
      </c>
      <c r="D50" s="9" t="s">
        <v>78</v>
      </c>
      <c r="E50" s="5" t="s">
        <v>384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1040</v>
      </c>
      <c r="D51" s="9" t="s">
        <v>79</v>
      </c>
      <c r="E51" s="5" t="s">
        <v>385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1027</v>
      </c>
      <c r="D52" s="9" t="s">
        <v>80</v>
      </c>
      <c r="E52" s="5" t="s">
        <v>387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1081</v>
      </c>
      <c r="D53" s="9" t="s">
        <v>82</v>
      </c>
      <c r="E53" s="5" t="s">
        <v>388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1082</v>
      </c>
      <c r="D54" s="9" t="s">
        <v>83</v>
      </c>
      <c r="E54" s="5" t="s">
        <v>390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1083</v>
      </c>
      <c r="D55" s="9" t="s">
        <v>84</v>
      </c>
      <c r="E55" s="5" t="s">
        <v>389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1084</v>
      </c>
      <c r="D56" s="9" t="s">
        <v>126</v>
      </c>
      <c r="E56" s="5" t="s">
        <v>391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1085</v>
      </c>
      <c r="D57" s="9" t="s">
        <v>85</v>
      </c>
      <c r="E57" s="5" t="s">
        <v>392</v>
      </c>
      <c r="F57" s="9" t="s">
        <v>57</v>
      </c>
      <c r="G57" s="13" t="s">
        <v>128</v>
      </c>
      <c r="H57" s="9" t="s">
        <v>1126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1018</v>
      </c>
      <c r="D58" s="9" t="s">
        <v>143</v>
      </c>
      <c r="E58" s="5" t="s">
        <v>393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1023</v>
      </c>
      <c r="D59" s="9" t="s">
        <v>144</v>
      </c>
      <c r="E59" s="5" t="s">
        <v>394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1035</v>
      </c>
      <c r="D60" s="9" t="s">
        <v>87</v>
      </c>
      <c r="E60" s="5" t="s">
        <v>395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1069</v>
      </c>
      <c r="D61" s="8" t="s">
        <v>256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1070</v>
      </c>
      <c r="D62" s="8" t="s">
        <v>265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1072</v>
      </c>
      <c r="D63" s="8" t="s">
        <v>257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1076</v>
      </c>
      <c r="D64" s="8" t="s">
        <v>264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1074</v>
      </c>
      <c r="D65" s="8" t="s">
        <v>258</v>
      </c>
      <c r="E65" s="5" t="s">
        <v>396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1075</v>
      </c>
      <c r="D66" s="8" t="s">
        <v>263</v>
      </c>
      <c r="E66" s="5" t="s">
        <v>397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1077</v>
      </c>
      <c r="D67" s="8" t="s">
        <v>261</v>
      </c>
      <c r="E67" s="5" t="s">
        <v>398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1078</v>
      </c>
      <c r="D68" s="8" t="s">
        <v>260</v>
      </c>
      <c r="E68" s="5" t="s">
        <v>399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1071</v>
      </c>
      <c r="D69" s="8" t="s">
        <v>259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1080</v>
      </c>
      <c r="D70" s="8" t="s">
        <v>262</v>
      </c>
      <c r="E70" s="5" t="s">
        <v>400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1079</v>
      </c>
      <c r="D71" s="8" t="s">
        <v>266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1073</v>
      </c>
      <c r="D72" s="49" t="s">
        <v>267</v>
      </c>
      <c r="E72" s="5" t="s">
        <v>401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1086</v>
      </c>
      <c r="D73" s="8" t="s">
        <v>403</v>
      </c>
      <c r="E73" s="8" t="s">
        <v>404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1087</v>
      </c>
      <c r="D74" s="8" t="s">
        <v>405</v>
      </c>
      <c r="E74" s="8" t="s">
        <v>406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1088</v>
      </c>
      <c r="D75" s="8" t="s">
        <v>407</v>
      </c>
      <c r="E75" s="8" t="s">
        <v>411</v>
      </c>
      <c r="F75" s="13" t="s">
        <v>89</v>
      </c>
      <c r="G75" s="8" t="s">
        <v>1168</v>
      </c>
      <c r="H75" s="8" t="s">
        <v>1168</v>
      </c>
      <c r="I75" s="8" t="s">
        <v>1169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1089</v>
      </c>
      <c r="D76" s="8" t="s">
        <v>408</v>
      </c>
      <c r="E76" s="8" t="s">
        <v>415</v>
      </c>
      <c r="F76" s="13" t="s">
        <v>91</v>
      </c>
      <c r="G76" s="13" t="s">
        <v>150</v>
      </c>
      <c r="H76" s="13" t="s">
        <v>128</v>
      </c>
      <c r="I76" s="8" t="s">
        <v>1169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1090</v>
      </c>
      <c r="D77" s="8" t="s">
        <v>409</v>
      </c>
      <c r="E77" s="8" t="s">
        <v>416</v>
      </c>
      <c r="F77" s="13" t="s">
        <v>91</v>
      </c>
      <c r="G77" s="8" t="s">
        <v>1163</v>
      </c>
      <c r="H77" s="13" t="s">
        <v>128</v>
      </c>
      <c r="I77" s="8" t="s">
        <v>1169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1091</v>
      </c>
      <c r="D78" s="8" t="s">
        <v>410</v>
      </c>
      <c r="E78" s="8" t="s">
        <v>395</v>
      </c>
      <c r="F78" s="13" t="s">
        <v>91</v>
      </c>
      <c r="G78" s="8" t="s">
        <v>1164</v>
      </c>
      <c r="H78" s="13" t="s">
        <v>128</v>
      </c>
      <c r="I78" s="8" t="s">
        <v>1169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1092</v>
      </c>
      <c r="D79" s="8" t="s">
        <v>412</v>
      </c>
      <c r="E79" s="8" t="s">
        <v>395</v>
      </c>
      <c r="F79" s="13" t="s">
        <v>91</v>
      </c>
      <c r="G79" s="8" t="s">
        <v>1165</v>
      </c>
      <c r="H79" s="13" t="s">
        <v>128</v>
      </c>
      <c r="I79" s="8" t="s">
        <v>1169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1093</v>
      </c>
      <c r="D80" s="8" t="s">
        <v>414</v>
      </c>
      <c r="E80" s="8" t="s">
        <v>395</v>
      </c>
      <c r="F80" s="13" t="s">
        <v>91</v>
      </c>
      <c r="G80" s="8" t="s">
        <v>1166</v>
      </c>
      <c r="H80" s="13" t="s">
        <v>128</v>
      </c>
      <c r="I80" s="8" t="s">
        <v>1169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1094</v>
      </c>
      <c r="D81" s="8" t="s">
        <v>413</v>
      </c>
      <c r="E81" s="8" t="s">
        <v>395</v>
      </c>
      <c r="F81" s="13" t="s">
        <v>91</v>
      </c>
      <c r="G81" s="8" t="s">
        <v>1167</v>
      </c>
      <c r="H81" s="13" t="s">
        <v>128</v>
      </c>
      <c r="I81" s="8" t="s">
        <v>1169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workbookViewId="0">
      <selection activeCell="K6" sqref="K6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230</v>
      </c>
    </row>
    <row r="2" spans="2:16">
      <c r="K2" s="7" t="s">
        <v>150</v>
      </c>
      <c r="L2" s="7" t="s">
        <v>151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129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149</v>
      </c>
    </row>
    <row r="6" spans="2:16">
      <c r="B6" s="43" t="s">
        <v>420</v>
      </c>
      <c r="C6" s="9" t="s">
        <v>196</v>
      </c>
      <c r="D6" s="9" t="s">
        <v>196</v>
      </c>
      <c r="E6" s="10" t="s">
        <v>160</v>
      </c>
      <c r="F6" s="10">
        <v>12</v>
      </c>
      <c r="G6" s="10" t="s">
        <v>178</v>
      </c>
      <c r="H6" s="10" t="s">
        <v>150</v>
      </c>
      <c r="K6" s="5" t="str">
        <f>"INSERT INTO m_monster VALUES ("&amp;"'"&amp;B6&amp;"'"&amp;","&amp;"'"&amp;C6&amp;"'"&amp;","&amp;VLOOKUP(D6,コード!$C$48:$I$101,2,FALSE)&amp;","&amp;E6&amp;","&amp;F6&amp;","&amp;G6&amp;","&amp;VLOOKUP(H6,コード!$C$5:$I$11,2,FALSE)&amp;");"</f>
        <v>INSERT INTO m_monster VALUES ('monster001','キラービー',,110,12,16,);</v>
      </c>
    </row>
    <row r="7" spans="2:16">
      <c r="B7" s="43" t="s">
        <v>422</v>
      </c>
      <c r="C7" s="9" t="s">
        <v>204</v>
      </c>
      <c r="D7" s="9" t="s">
        <v>196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150</v>
      </c>
      <c r="K7" s="5" t="str">
        <f>"INSERT INTO m_monster VALUES ("&amp;"'"&amp;B7&amp;"'"&amp;","&amp;"'"&amp;C7&amp;"'"&amp;","&amp;VLOOKUP(D7,コード!$C$48:$I$101,2,FALSE)&amp;","&amp;E7&amp;","&amp;F7&amp;","&amp;G7&amp;","&amp;VLOOKUP(H7,コード!$C$5:$I$11,2,FALSE)&amp;");"</f>
        <v>INSERT INTO m_monster VALUES ('monster002','アサシンバグ',,132,15,20,);</v>
      </c>
    </row>
    <row r="8" spans="2:16">
      <c r="B8" s="43" t="s">
        <v>423</v>
      </c>
      <c r="C8" s="9" t="s">
        <v>205</v>
      </c>
      <c r="D8" s="9" t="s">
        <v>196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150</v>
      </c>
      <c r="K8" s="5" t="str">
        <f>"INSERT INTO m_monster VALUES ("&amp;"'"&amp;B8&amp;"'"&amp;","&amp;"'"&amp;C8&amp;"'"&amp;","&amp;VLOOKUP(D8,コード!$C$48:$I$101,2,FALSE)&amp;","&amp;E8&amp;","&amp;F8&amp;","&amp;G8&amp;","&amp;VLOOKUP(H8,コード!$C$5:$I$11,2,FALSE)&amp;");"</f>
        <v>INSERT INTO m_monster VALUES ('monster003','ラスターバグ',,158,19,26,);</v>
      </c>
    </row>
    <row r="9" spans="2:16">
      <c r="B9" s="43" t="s">
        <v>424</v>
      </c>
      <c r="C9" s="9" t="s">
        <v>164</v>
      </c>
      <c r="D9" s="9" t="s">
        <v>164</v>
      </c>
      <c r="E9" s="10">
        <v>100</v>
      </c>
      <c r="F9" s="10">
        <v>10</v>
      </c>
      <c r="G9" s="10" t="s">
        <v>175</v>
      </c>
      <c r="H9" s="10" t="s">
        <v>34</v>
      </c>
      <c r="K9" s="5" t="str">
        <f>"INSERT INTO m_monster VALUES ("&amp;"'"&amp;B9&amp;"'"&amp;","&amp;"'"&amp;C9&amp;"'"&amp;","&amp;VLOOKUP(D9,コード!$C$48:$I$101,2,FALSE)&amp;","&amp;E9&amp;","&amp;F9&amp;","&amp;G9&amp;","&amp;VLOOKUP(H9,コード!$C$5:$I$11,2,FALSE)&amp;");"</f>
        <v>INSERT INTO m_monster VALUES ('monster004','カーミラ',,100,10,13,);</v>
      </c>
    </row>
    <row r="10" spans="2:16">
      <c r="B10" s="43" t="s">
        <v>425</v>
      </c>
      <c r="C10" s="9" t="s">
        <v>206</v>
      </c>
      <c r="D10" s="9" t="s">
        <v>164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("&amp;"'"&amp;B10&amp;"'"&amp;","&amp;"'"&amp;C10&amp;"'"&amp;","&amp;VLOOKUP(D10,コード!$C$48:$I$101,2,FALSE)&amp;","&amp;E10&amp;","&amp;F10&amp;","&amp;G10&amp;","&amp;VLOOKUP(H10,コード!$C$5:$I$11,2,FALSE)&amp;");"</f>
        <v>INSERT INTO m_monster VALUES ('monster005','カーミラクイーン',,120,13,16,);</v>
      </c>
    </row>
    <row r="11" spans="2:16">
      <c r="B11" s="43" t="s">
        <v>426</v>
      </c>
      <c r="C11" s="9" t="s">
        <v>165</v>
      </c>
      <c r="D11" s="9" t="s">
        <v>165</v>
      </c>
      <c r="E11" s="10" t="s">
        <v>159</v>
      </c>
      <c r="F11" s="10" t="s">
        <v>173</v>
      </c>
      <c r="G11" s="10">
        <v>7</v>
      </c>
      <c r="H11" s="10" t="s">
        <v>36</v>
      </c>
      <c r="K11" s="5" t="str">
        <f>"INSERT INTO m_monster VALUES ("&amp;"'"&amp;B11&amp;"'"&amp;","&amp;"'"&amp;C11&amp;"'"&amp;","&amp;VLOOKUP(D11,コード!$C$48:$I$101,2,FALSE)&amp;","&amp;E11&amp;","&amp;F11&amp;","&amp;G11&amp;","&amp;VLOOKUP(H11,コード!$C$5:$I$11,2,FALSE)&amp;");"</f>
        <v>INSERT INTO m_monster VALUES ('monster006','デーモン',,130,15,7,);</v>
      </c>
    </row>
    <row r="12" spans="2:16">
      <c r="B12" s="43" t="s">
        <v>427</v>
      </c>
      <c r="C12" s="9" t="s">
        <v>207</v>
      </c>
      <c r="D12" s="9" t="s">
        <v>165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("&amp;"'"&amp;B12&amp;"'"&amp;","&amp;"'"&amp;C12&amp;"'"&amp;","&amp;VLOOKUP(D12,コード!$C$48:$I$101,2,FALSE)&amp;","&amp;E12&amp;","&amp;F12&amp;","&amp;G12&amp;","&amp;VLOOKUP(H12,コード!$C$5:$I$11,2,FALSE)&amp;");"</f>
        <v>INSERT INTO m_monster VALUES ('monster007','グレートデーモン',,156,19,9,);</v>
      </c>
    </row>
    <row r="13" spans="2:16">
      <c r="B13" s="43" t="s">
        <v>428</v>
      </c>
      <c r="C13" s="9" t="s">
        <v>99</v>
      </c>
      <c r="D13" s="9" t="s">
        <v>99</v>
      </c>
      <c r="E13" s="10">
        <v>120</v>
      </c>
      <c r="F13" s="10" t="s">
        <v>176</v>
      </c>
      <c r="G13" s="10" t="s">
        <v>81</v>
      </c>
      <c r="H13" s="10" t="s">
        <v>35</v>
      </c>
      <c r="K13" s="5" t="str">
        <f>"INSERT INTO m_monster VALUES ("&amp;"'"&amp;B13&amp;"'"&amp;","&amp;"'"&amp;C13&amp;"'"&amp;","&amp;VLOOKUP(D13,コード!$C$48:$I$101,2,FALSE)&amp;","&amp;E13&amp;","&amp;F13&amp;","&amp;G13&amp;","&amp;VLOOKUP(H13,コード!$C$5:$I$11,2,FALSE)&amp;");"</f>
        <v>INSERT INTO m_monster VALUES ('monster008','ゴブリン',,120,11,10,);</v>
      </c>
    </row>
    <row r="14" spans="2:16">
      <c r="B14" s="43" t="s">
        <v>429</v>
      </c>
      <c r="C14" s="9" t="s">
        <v>208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("&amp;"'"&amp;B14&amp;"'"&amp;","&amp;"'"&amp;C14&amp;"'"&amp;","&amp;VLOOKUP(D14,コード!$C$48:$I$101,2,FALSE)&amp;","&amp;E14&amp;","&amp;F14&amp;","&amp;G14&amp;","&amp;VLOOKUP(H14,コード!$C$5:$I$11,2,FALSE)&amp;");"</f>
        <v>INSERT INTO m_monster VALUES ('monster009','ゴブリンガード',,144,14,13,);</v>
      </c>
    </row>
    <row r="15" spans="2:16">
      <c r="B15" s="43" t="s">
        <v>430</v>
      </c>
      <c r="C15" s="9" t="s">
        <v>209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("&amp;"'"&amp;B15&amp;"'"&amp;","&amp;"'"&amp;C15&amp;"'"&amp;","&amp;VLOOKUP(D15,コード!$C$48:$I$101,2,FALSE)&amp;","&amp;E15&amp;","&amp;F15&amp;","&amp;G15&amp;","&amp;VLOOKUP(H15,コード!$C$5:$I$11,2,FALSE)&amp;");"</f>
        <v>INSERT INTO m_monster VALUES ('monster010','ゴブリンロード',,172,18,16,);</v>
      </c>
    </row>
    <row r="16" spans="2:16">
      <c r="B16" s="43" t="s">
        <v>431</v>
      </c>
      <c r="C16" s="9" t="s">
        <v>192</v>
      </c>
      <c r="D16" s="9" t="s">
        <v>192</v>
      </c>
      <c r="E16" s="10">
        <v>140</v>
      </c>
      <c r="F16" s="10" t="s">
        <v>161</v>
      </c>
      <c r="G16" s="10">
        <v>5</v>
      </c>
      <c r="H16" s="10" t="s">
        <v>151</v>
      </c>
      <c r="K16" s="5" t="str">
        <f>"INSERT INTO m_monster VALUES ("&amp;"'"&amp;B16&amp;"'"&amp;","&amp;"'"&amp;C16&amp;"'"&amp;","&amp;VLOOKUP(D16,コード!$C$48:$I$101,2,FALSE)&amp;","&amp;E16&amp;","&amp;F16&amp;","&amp;G16&amp;","&amp;VLOOKUP(H16,コード!$C$5:$I$11,2,FALSE)&amp;");"</f>
        <v>INSERT INTO m_monster VALUES ('monster011','マシンゴーレム',,140,17,5,);</v>
      </c>
    </row>
    <row r="17" spans="2:11">
      <c r="B17" s="43" t="s">
        <v>432</v>
      </c>
      <c r="C17" s="9" t="s">
        <v>210</v>
      </c>
      <c r="D17" s="9" t="s">
        <v>192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151</v>
      </c>
      <c r="K17" s="5" t="str">
        <f>"INSERT INTO m_monster VALUES ("&amp;"'"&amp;B17&amp;"'"&amp;","&amp;"'"&amp;C17&amp;"'"&amp;","&amp;VLOOKUP(D17,コード!$C$48:$I$101,2,FALSE)&amp;","&amp;E17&amp;","&amp;F17&amp;","&amp;G17&amp;","&amp;VLOOKUP(H17,コード!$C$5:$I$11,2,FALSE)&amp;");"</f>
        <v>INSERT INTO m_monster VALUES ('monster012','ガーディアン',,168,22,6,);</v>
      </c>
    </row>
    <row r="18" spans="2:11">
      <c r="B18" s="43" t="s">
        <v>433</v>
      </c>
      <c r="C18" s="9" t="s">
        <v>211</v>
      </c>
      <c r="D18" s="9" t="s">
        <v>192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151</v>
      </c>
      <c r="K18" s="5" t="str">
        <f>"INSERT INTO m_monster VALUES ("&amp;"'"&amp;B18&amp;"'"&amp;","&amp;"'"&amp;C18&amp;"'"&amp;","&amp;VLOOKUP(D18,コード!$C$48:$I$101,2,FALSE)&amp;","&amp;E18&amp;","&amp;F18&amp;","&amp;G18&amp;","&amp;VLOOKUP(H18,コード!$C$5:$I$11,2,FALSE)&amp;");"</f>
        <v>INSERT INTO m_monster VALUES ('monster013','デスマシン',,201,28,7,);</v>
      </c>
    </row>
    <row r="19" spans="2:11">
      <c r="B19" s="43" t="s">
        <v>434</v>
      </c>
      <c r="C19" s="9" t="s">
        <v>166</v>
      </c>
      <c r="D19" s="9" t="s">
        <v>166</v>
      </c>
      <c r="E19" s="10">
        <v>100</v>
      </c>
      <c r="F19" s="10">
        <v>8</v>
      </c>
      <c r="G19" s="10" t="s">
        <v>179</v>
      </c>
      <c r="H19" s="10" t="s">
        <v>35</v>
      </c>
      <c r="K19" s="5" t="str">
        <f>"INSERT INTO m_monster VALUES ("&amp;"'"&amp;B19&amp;"'"&amp;","&amp;"'"&amp;C19&amp;"'"&amp;","&amp;VLOOKUP(D19,コード!$C$48:$I$101,2,FALSE)&amp;","&amp;E19&amp;","&amp;F19&amp;","&amp;G19&amp;","&amp;VLOOKUP(H19,コード!$C$5:$I$11,2,FALSE)&amp;");"</f>
        <v>INSERT INTO m_monster VALUES ('monster014','ハーピー',,100,8,14,);</v>
      </c>
    </row>
    <row r="20" spans="2:11">
      <c r="B20" s="43" t="s">
        <v>435</v>
      </c>
      <c r="C20" s="9" t="s">
        <v>212</v>
      </c>
      <c r="D20" s="9" t="s">
        <v>166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("&amp;"'"&amp;B20&amp;"'"&amp;","&amp;"'"&amp;C20&amp;"'"&amp;","&amp;VLOOKUP(D20,コード!$C$48:$I$101,2,FALSE)&amp;","&amp;E20&amp;","&amp;F20&amp;","&amp;G20&amp;","&amp;VLOOKUP(H20,コード!$C$5:$I$11,2,FALSE)&amp;");"</f>
        <v>INSERT INTO m_monster VALUES ('monster015','セイレーン',,120,10,18,);</v>
      </c>
    </row>
    <row r="21" spans="2:11">
      <c r="B21" s="43" t="s">
        <v>436</v>
      </c>
      <c r="C21" s="9" t="s">
        <v>195</v>
      </c>
      <c r="D21" s="9" t="s">
        <v>195</v>
      </c>
      <c r="E21" s="10" t="s">
        <v>174</v>
      </c>
      <c r="F21" s="10" t="s">
        <v>175</v>
      </c>
      <c r="G21" s="10" t="s">
        <v>180</v>
      </c>
      <c r="H21" s="10" t="s">
        <v>34</v>
      </c>
      <c r="K21" s="5" t="str">
        <f>"INSERT INTO m_monster VALUES ("&amp;"'"&amp;B21&amp;"'"&amp;","&amp;"'"&amp;C21&amp;"'"&amp;","&amp;VLOOKUP(D21,コード!$C$48:$I$101,2,FALSE)&amp;","&amp;E21&amp;","&amp;F21&amp;","&amp;G21&amp;","&amp;VLOOKUP(H21,コード!$C$5:$I$11,2,FALSE)&amp;");"</f>
        <v>INSERT INTO m_monster VALUES ('monster016','アーマーナイト',,120,13,8,);</v>
      </c>
    </row>
    <row r="22" spans="2:11">
      <c r="B22" s="43" t="s">
        <v>437</v>
      </c>
      <c r="C22" s="9" t="s">
        <v>213</v>
      </c>
      <c r="D22" s="9" t="s">
        <v>195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("&amp;"'"&amp;B22&amp;"'"&amp;","&amp;"'"&amp;C22&amp;"'"&amp;","&amp;VLOOKUP(D22,コード!$C$48:$I$101,2,FALSE)&amp;","&amp;E22&amp;","&amp;F22&amp;","&amp;G22&amp;","&amp;VLOOKUP(H22,コード!$C$5:$I$11,2,FALSE)&amp;");"</f>
        <v>INSERT INTO m_monster VALUES ('monster017','ダークナイト',,144,16,10,);</v>
      </c>
    </row>
    <row r="23" spans="2:11">
      <c r="B23" s="43" t="s">
        <v>438</v>
      </c>
      <c r="C23" s="9" t="s">
        <v>214</v>
      </c>
      <c r="D23" s="9" t="s">
        <v>195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("&amp;"'"&amp;B23&amp;"'"&amp;","&amp;"'"&amp;C23&amp;"'"&amp;","&amp;VLOOKUP(D23,コード!$C$48:$I$101,2,FALSE)&amp;","&amp;E23&amp;","&amp;F23&amp;","&amp;G23&amp;","&amp;VLOOKUP(H23,コード!$C$5:$I$11,2,FALSE)&amp;");"</f>
        <v>INSERT INTO m_monster VALUES ('monster018','ターミネータ',,172,20,13,);</v>
      </c>
    </row>
    <row r="24" spans="2:11">
      <c r="B24" s="43" t="s">
        <v>439</v>
      </c>
      <c r="C24" s="9" t="s">
        <v>100</v>
      </c>
      <c r="D24" s="9" t="s">
        <v>100</v>
      </c>
      <c r="E24" s="10">
        <v>100</v>
      </c>
      <c r="F24" s="10" t="s">
        <v>177</v>
      </c>
      <c r="G24" s="10">
        <v>12</v>
      </c>
      <c r="H24" s="10" t="s">
        <v>35</v>
      </c>
      <c r="K24" s="5" t="str">
        <f>"INSERT INTO m_monster VALUES ("&amp;"'"&amp;B24&amp;"'"&amp;","&amp;"'"&amp;C24&amp;"'"&amp;","&amp;VLOOKUP(D24,コード!$C$48:$I$101,2,FALSE)&amp;","&amp;E24&amp;","&amp;F24&amp;","&amp;G24&amp;","&amp;VLOOKUP(H24,コード!$C$5:$I$11,2,FALSE)&amp;");"</f>
        <v>INSERT INTO m_monster VALUES ('monster019','マジシャン',,100,9,12,);</v>
      </c>
    </row>
    <row r="25" spans="2:11">
      <c r="B25" s="43" t="s">
        <v>440</v>
      </c>
      <c r="C25" s="9" t="s">
        <v>215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("&amp;"'"&amp;B25&amp;"'"&amp;","&amp;"'"&amp;C25&amp;"'"&amp;","&amp;VLOOKUP(D25,コード!$C$48:$I$101,2,FALSE)&amp;","&amp;E25&amp;","&amp;F25&amp;","&amp;G25&amp;","&amp;VLOOKUP(H25,コード!$C$5:$I$11,2,FALSE)&amp;");"</f>
        <v>INSERT INTO m_monster VALUES ('monster020','ウィザード',,120,11,15,);</v>
      </c>
    </row>
    <row r="26" spans="2:11">
      <c r="B26" s="43" t="s">
        <v>441</v>
      </c>
      <c r="C26" s="9" t="s">
        <v>216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("&amp;"'"&amp;B26&amp;"'"&amp;","&amp;"'"&amp;C26&amp;"'"&amp;","&amp;VLOOKUP(D26,コード!$C$48:$I$101,2,FALSE)&amp;","&amp;E26&amp;","&amp;F26&amp;","&amp;G26&amp;","&amp;VLOOKUP(H26,コード!$C$5:$I$11,2,FALSE)&amp;");"</f>
        <v>INSERT INTO m_monster VALUES ('monster021','ハイウィザード',,144,14,19,);</v>
      </c>
    </row>
    <row r="27" spans="2:11">
      <c r="B27" s="43" t="s">
        <v>442</v>
      </c>
      <c r="C27" s="9" t="s">
        <v>193</v>
      </c>
      <c r="D27" s="9" t="s">
        <v>193</v>
      </c>
      <c r="E27" s="10" t="s">
        <v>174</v>
      </c>
      <c r="F27" s="10" t="s">
        <v>81</v>
      </c>
      <c r="G27" s="10" t="s">
        <v>181</v>
      </c>
      <c r="H27" s="10" t="s">
        <v>150</v>
      </c>
      <c r="K27" s="5" t="str">
        <f>"INSERT INTO m_monster VALUES ("&amp;"'"&amp;B27&amp;"'"&amp;","&amp;"'"&amp;C27&amp;"'"&amp;","&amp;VLOOKUP(D27,コード!$C$48:$I$101,2,FALSE)&amp;","&amp;E27&amp;","&amp;F27&amp;","&amp;G27&amp;","&amp;VLOOKUP(H27,コード!$C$5:$I$11,2,FALSE)&amp;");"</f>
        <v>INSERT INTO m_monster VALUES ('monster022','マイコニド',,120,10,12,);</v>
      </c>
    </row>
    <row r="28" spans="2:11">
      <c r="B28" s="43" t="s">
        <v>443</v>
      </c>
      <c r="C28" s="9" t="s">
        <v>217</v>
      </c>
      <c r="D28" s="9" t="s">
        <v>193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150</v>
      </c>
      <c r="K28" s="5" t="str">
        <f>"INSERT INTO m_monster VALUES ("&amp;"'"&amp;B28&amp;"'"&amp;","&amp;"'"&amp;C28&amp;"'"&amp;","&amp;VLOOKUP(D28,コード!$C$48:$I$101,2,FALSE)&amp;","&amp;E28&amp;","&amp;F28&amp;","&amp;G28&amp;","&amp;VLOOKUP(H28,コード!$C$5:$I$11,2,FALSE)&amp;");"</f>
        <v>INSERT INTO m_monster VALUES ('monster023','ダースマタンゴ',,144,13,15,);</v>
      </c>
    </row>
    <row r="29" spans="2:11">
      <c r="B29" s="43" t="s">
        <v>444</v>
      </c>
      <c r="C29" s="9" t="s">
        <v>167</v>
      </c>
      <c r="D29" s="9" t="s">
        <v>167</v>
      </c>
      <c r="E29" s="10">
        <v>100</v>
      </c>
      <c r="F29" s="10" t="s">
        <v>175</v>
      </c>
      <c r="G29" s="10" t="s">
        <v>178</v>
      </c>
      <c r="H29" s="10" t="s">
        <v>151</v>
      </c>
      <c r="K29" s="5" t="str">
        <f>"INSERT INTO m_monster VALUES ("&amp;"'"&amp;B29&amp;"'"&amp;","&amp;"'"&amp;C29&amp;"'"&amp;","&amp;VLOOKUP(D29,コード!$C$48:$I$101,2,FALSE)&amp;","&amp;E29&amp;","&amp;F29&amp;","&amp;G29&amp;","&amp;VLOOKUP(H29,コード!$C$5:$I$11,2,FALSE)&amp;");"</f>
        <v>INSERT INTO m_monster VALUES ('monster024','ニードルバード',,100,13,16,);</v>
      </c>
    </row>
    <row r="30" spans="2:11">
      <c r="B30" s="43" t="s">
        <v>445</v>
      </c>
      <c r="C30" s="9" t="s">
        <v>218</v>
      </c>
      <c r="D30" s="9" t="s">
        <v>167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151</v>
      </c>
      <c r="K30" s="5" t="str">
        <f>"INSERT INTO m_monster VALUES ("&amp;"'"&amp;B30&amp;"'"&amp;","&amp;"'"&amp;C30&amp;"'"&amp;","&amp;VLOOKUP(D30,コード!$C$48:$I$101,2,FALSE)&amp;","&amp;E30&amp;","&amp;F30&amp;","&amp;G30&amp;","&amp;VLOOKUP(H30,コード!$C$5:$I$11,2,FALSE)&amp;");"</f>
        <v>INSERT INTO m_monster VALUES ('monster025','コカトバード',,120,16,20,);</v>
      </c>
    </row>
    <row r="31" spans="2:11">
      <c r="B31" s="43" t="s">
        <v>446</v>
      </c>
      <c r="C31" s="9" t="s">
        <v>168</v>
      </c>
      <c r="D31" s="9" t="s">
        <v>168</v>
      </c>
      <c r="E31" s="10">
        <v>130</v>
      </c>
      <c r="F31" s="10">
        <v>13</v>
      </c>
      <c r="G31" s="10">
        <v>8</v>
      </c>
      <c r="H31" s="10" t="s">
        <v>151</v>
      </c>
      <c r="K31" s="5" t="str">
        <f>"INSERT INTO m_monster VALUES ("&amp;"'"&amp;B31&amp;"'"&amp;","&amp;"'"&amp;C31&amp;"'"&amp;","&amp;VLOOKUP(D31,コード!$C$48:$I$101,2,FALSE)&amp;","&amp;E31&amp;","&amp;F31&amp;","&amp;G31&amp;","&amp;VLOOKUP(H31,コード!$C$5:$I$11,2,FALSE)&amp;");"</f>
        <v>INSERT INTO m_monster VALUES ('monster026','プチドラゴン',,130,13,8,);</v>
      </c>
    </row>
    <row r="32" spans="2:11">
      <c r="B32" s="43" t="s">
        <v>447</v>
      </c>
      <c r="C32" s="9" t="s">
        <v>219</v>
      </c>
      <c r="D32" s="9" t="s">
        <v>168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("&amp;"'"&amp;B32&amp;"'"&amp;","&amp;"'"&amp;C32&amp;"'"&amp;","&amp;VLOOKUP(D32,コード!$C$48:$I$101,2,FALSE)&amp;","&amp;E32&amp;","&amp;F32&amp;","&amp;G32&amp;","&amp;VLOOKUP(H32,コード!$C$5:$I$11,2,FALSE)&amp;");"</f>
        <v>INSERT INTO m_monster VALUES ('monster027','プチドラゾンビ',,156,16,10,);</v>
      </c>
    </row>
    <row r="33" spans="2:11">
      <c r="B33" s="43" t="s">
        <v>448</v>
      </c>
      <c r="C33" s="9" t="s">
        <v>220</v>
      </c>
      <c r="D33" s="9" t="s">
        <v>168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150</v>
      </c>
      <c r="K33" s="5" t="str">
        <f>"INSERT INTO m_monster VALUES ("&amp;"'"&amp;B33&amp;"'"&amp;","&amp;"'"&amp;C33&amp;"'"&amp;","&amp;VLOOKUP(D33,コード!$C$48:$I$101,2,FALSE)&amp;","&amp;E33&amp;","&amp;F33&amp;","&amp;G33&amp;","&amp;VLOOKUP(H33,コード!$C$5:$I$11,2,FALSE)&amp;");"</f>
        <v>INSERT INTO m_monster VALUES ('monster028','フロストドラゴン',,187,20,13,);</v>
      </c>
    </row>
    <row r="34" spans="2:11">
      <c r="B34" s="43" t="s">
        <v>449</v>
      </c>
      <c r="C34" s="9" t="s">
        <v>221</v>
      </c>
      <c r="D34" s="9" t="s">
        <v>168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("&amp;"'"&amp;B34&amp;"'"&amp;","&amp;"'"&amp;C34&amp;"'"&amp;","&amp;VLOOKUP(D34,コード!$C$48:$I$101,2,FALSE)&amp;","&amp;E34&amp;","&amp;F34&amp;","&amp;G34&amp;","&amp;VLOOKUP(H34,コード!$C$5:$I$11,2,FALSE)&amp;");"</f>
        <v>INSERT INTO m_monster VALUES ('monster029','プチティアマット',,224,26,16,);</v>
      </c>
    </row>
    <row r="35" spans="2:11">
      <c r="B35" s="43" t="s">
        <v>450</v>
      </c>
      <c r="C35" s="9" t="s">
        <v>169</v>
      </c>
      <c r="D35" s="9" t="s">
        <v>169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("&amp;"'"&amp;B35&amp;"'"&amp;","&amp;"'"&amp;C35&amp;"'"&amp;","&amp;VLOOKUP(D35,コード!$C$48:$I$101,2,FALSE)&amp;","&amp;E35&amp;","&amp;F35&amp;","&amp;G35&amp;","&amp;VLOOKUP(H35,コード!$C$5:$I$11,2,FALSE)&amp;");"</f>
        <v>INSERT INTO m_monster VALUES ('monster030','ポト',,100,10,16,);</v>
      </c>
    </row>
    <row r="36" spans="2:11">
      <c r="B36" s="43" t="s">
        <v>451</v>
      </c>
      <c r="C36" s="9" t="s">
        <v>222</v>
      </c>
      <c r="D36" s="9" t="s">
        <v>169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("&amp;"'"&amp;B36&amp;"'"&amp;","&amp;"'"&amp;C36&amp;"'"&amp;","&amp;VLOOKUP(D36,コード!$C$48:$I$101,2,FALSE)&amp;","&amp;E36&amp;","&amp;F36&amp;","&amp;G36&amp;","&amp;VLOOKUP(H36,コード!$C$5:$I$11,2,FALSE)&amp;");"</f>
        <v>INSERT INTO m_monster VALUES ('monster031','マーマポト',,120,13,20,);</v>
      </c>
    </row>
    <row r="37" spans="2:11">
      <c r="B37" s="43" t="s">
        <v>452</v>
      </c>
      <c r="C37" s="9" t="s">
        <v>223</v>
      </c>
      <c r="D37" s="9" t="s">
        <v>169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("&amp;"'"&amp;B37&amp;"'"&amp;","&amp;"'"&amp;C37&amp;"'"&amp;","&amp;VLOOKUP(D37,コード!$C$48:$I$101,2,FALSE)&amp;","&amp;E37&amp;","&amp;F37&amp;","&amp;G37&amp;","&amp;VLOOKUP(H37,コード!$C$5:$I$11,2,FALSE)&amp;");"</f>
        <v>INSERT INTO m_monster VALUES ('monster032','パーパポト',,141,16,26,);</v>
      </c>
    </row>
    <row r="38" spans="2:11">
      <c r="B38" s="43" t="s">
        <v>453</v>
      </c>
      <c r="C38" s="9" t="s">
        <v>170</v>
      </c>
      <c r="D38" s="9" t="s">
        <v>170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("&amp;"'"&amp;B38&amp;"'"&amp;","&amp;"'"&amp;C38&amp;"'"&amp;","&amp;VLOOKUP(D38,コード!$C$48:$I$101,2,FALSE)&amp;","&amp;E38&amp;","&amp;F38&amp;","&amp;G38&amp;","&amp;VLOOKUP(H38,コード!$C$5:$I$11,2,FALSE)&amp;");"</f>
        <v>INSERT INTO m_monster VALUES ('monster033','プリースト',,100,9,13,);</v>
      </c>
    </row>
    <row r="39" spans="2:11">
      <c r="B39" s="43" t="s">
        <v>454</v>
      </c>
      <c r="C39" s="9" t="s">
        <v>224</v>
      </c>
      <c r="D39" s="9" t="s">
        <v>170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("&amp;"'"&amp;B39&amp;"'"&amp;","&amp;"'"&amp;C39&amp;"'"&amp;","&amp;VLOOKUP(D39,コード!$C$48:$I$101,2,FALSE)&amp;","&amp;E39&amp;","&amp;F39&amp;","&amp;G39&amp;","&amp;VLOOKUP(H39,コード!$C$5:$I$11,2,FALSE)&amp;");"</f>
        <v>INSERT INTO m_monster VALUES ('monster034','カオスソーサラー',,120,11,16,);</v>
      </c>
    </row>
    <row r="40" spans="2:11">
      <c r="B40" s="43" t="s">
        <v>455</v>
      </c>
      <c r="C40" s="9" t="s">
        <v>225</v>
      </c>
      <c r="D40" s="9" t="s">
        <v>170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("&amp;"'"&amp;B40&amp;"'"&amp;","&amp;"'"&amp;C40&amp;"'"&amp;","&amp;VLOOKUP(D40,コード!$C$48:$I$101,2,FALSE)&amp;","&amp;E40&amp;","&amp;F40&amp;","&amp;G40&amp;","&amp;VLOOKUP(H40,コード!$C$5:$I$11,2,FALSE)&amp;");"</f>
        <v>INSERT INTO m_monster VALUES ('monster035','イビルシャーマン',,144,14,20,);</v>
      </c>
    </row>
    <row r="41" spans="2:11">
      <c r="B41" s="43" t="s">
        <v>456</v>
      </c>
      <c r="C41" s="9" t="s">
        <v>172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("&amp;"'"&amp;B41&amp;"'"&amp;","&amp;"'"&amp;C41&amp;"'"&amp;","&amp;VLOOKUP(D41,コード!$C$48:$I$101,2,FALSE)&amp;","&amp;E41&amp;","&amp;F41&amp;","&amp;G41&amp;","&amp;VLOOKUP(H41,コード!$C$5:$I$11,2,FALSE)&amp;");"</f>
        <v>INSERT INTO m_monster VALUES ('monster036','ラビ',,100,11,16,);</v>
      </c>
    </row>
    <row r="42" spans="2:11">
      <c r="B42" s="43" t="s">
        <v>457</v>
      </c>
      <c r="C42" s="9" t="s">
        <v>182</v>
      </c>
      <c r="D42" s="9" t="s">
        <v>171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("&amp;"'"&amp;B42&amp;"'"&amp;","&amp;"'"&amp;C42&amp;"'"&amp;","&amp;VLOOKUP(D42,コード!$C$48:$I$101,2,FALSE)&amp;","&amp;E42&amp;","&amp;F42&amp;","&amp;G42&amp;","&amp;VLOOKUP(H42,コード!$C$5:$I$11,2,FALSE)&amp;");"</f>
        <v>INSERT INTO m_monster VALUES ('monster037','ラビリオン',,120,14,20,);</v>
      </c>
    </row>
    <row r="43" spans="2:11">
      <c r="B43" s="43" t="s">
        <v>458</v>
      </c>
      <c r="C43" s="9" t="s">
        <v>183</v>
      </c>
      <c r="D43" s="9" t="s">
        <v>171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("&amp;"'"&amp;B43&amp;"'"&amp;","&amp;"'"&amp;C43&amp;"'"&amp;","&amp;VLOOKUP(D43,コード!$C$48:$I$101,2,FALSE)&amp;","&amp;E43&amp;","&amp;F43&amp;","&amp;G43&amp;","&amp;VLOOKUP(H43,コード!$C$5:$I$11,2,FALSE)&amp;");"</f>
        <v>INSERT INTO m_monster VALUES ('monster038','キングラビ',,144,18,26,);</v>
      </c>
    </row>
    <row r="44" spans="2:11">
      <c r="B44" s="43" t="s">
        <v>459</v>
      </c>
      <c r="C44" s="9" t="s">
        <v>184</v>
      </c>
      <c r="D44" s="9" t="s">
        <v>171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("&amp;"'"&amp;B44&amp;"'"&amp;","&amp;"'"&amp;C44&amp;"'"&amp;","&amp;VLOOKUP(D44,コード!$C$48:$I$101,2,FALSE)&amp;","&amp;E44&amp;","&amp;F44&amp;","&amp;G44&amp;","&amp;VLOOKUP(H44,コード!$C$5:$I$11,2,FALSE)&amp;");"</f>
        <v>INSERT INTO m_monster VALUES ('monster039','グレートラビ',,172,23,33,);</v>
      </c>
    </row>
    <row r="45" spans="2:11">
      <c r="B45" s="43" t="s">
        <v>460</v>
      </c>
      <c r="C45" s="9" t="s">
        <v>98</v>
      </c>
      <c r="D45" s="9" t="s">
        <v>194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("&amp;"'"&amp;B45&amp;"'"&amp;","&amp;"'"&amp;C45&amp;"'"&amp;","&amp;VLOOKUP(D45,コード!$C$48:$I$101,2,FALSE)&amp;","&amp;E45&amp;","&amp;F45&amp;","&amp;G45&amp;","&amp;VLOOKUP(H45,コード!$C$5:$I$11,2,FALSE)&amp;");"</f>
        <v>INSERT INTO m_monster VALUES ('monster040','スライム',,100,10,18,);</v>
      </c>
    </row>
    <row r="46" spans="2:11">
      <c r="B46" s="43" t="s">
        <v>461</v>
      </c>
      <c r="C46" s="9" t="s">
        <v>226</v>
      </c>
      <c r="D46" s="9" t="s">
        <v>194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150</v>
      </c>
      <c r="K46" s="5" t="str">
        <f>"INSERT INTO m_monster VALUES ("&amp;"'"&amp;B46&amp;"'"&amp;","&amp;"'"&amp;C46&amp;"'"&amp;","&amp;VLOOKUP(D46,コード!$C$48:$I$101,2,FALSE)&amp;","&amp;E46&amp;","&amp;F46&amp;","&amp;G46&amp;","&amp;VLOOKUP(H46,コード!$C$5:$I$11,2,FALSE)&amp;");"</f>
        <v>INSERT INTO m_monster VALUES ('monster041','ブルーババロア',,120,13,23,);</v>
      </c>
    </row>
    <row r="47" spans="2:11">
      <c r="B47" s="43" t="s">
        <v>462</v>
      </c>
      <c r="C47" s="9" t="s">
        <v>227</v>
      </c>
      <c r="D47" s="9" t="s">
        <v>194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151</v>
      </c>
      <c r="K47" s="5" t="str">
        <f>"INSERT INTO m_monster VALUES ("&amp;"'"&amp;B47&amp;"'"&amp;","&amp;"'"&amp;C47&amp;"'"&amp;","&amp;VLOOKUP(D47,コード!$C$48:$I$101,2,FALSE)&amp;","&amp;E47&amp;","&amp;F47&amp;","&amp;G47&amp;","&amp;VLOOKUP(H47,コード!$C$5:$I$11,2,FALSE)&amp;");"</f>
        <v>INSERT INTO m_monster VALUES ('monster042','レッドマシュマロ',,141,16,29,);</v>
      </c>
    </row>
    <row r="48" spans="2:11">
      <c r="B48" s="43" t="s">
        <v>463</v>
      </c>
      <c r="C48" s="9" t="s">
        <v>186</v>
      </c>
      <c r="D48" s="9" t="s">
        <v>186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("&amp;"'"&amp;B48&amp;"'"&amp;","&amp;"'"&amp;C48&amp;"'"&amp;","&amp;VLOOKUP(D48,コード!$C$48:$I$101,2,FALSE)&amp;","&amp;E48&amp;","&amp;F48&amp;","&amp;G48&amp;","&amp;VLOOKUP(H48,コード!$C$5:$I$11,2,FALSE)&amp;");"</f>
        <v>INSERT INTO m_monster VALUES ('monster043','イビルソード',,110,15,13,);</v>
      </c>
    </row>
    <row r="49" spans="2:11">
      <c r="B49" s="43" t="s">
        <v>464</v>
      </c>
      <c r="C49" s="8" t="s">
        <v>228</v>
      </c>
      <c r="D49" s="9" t="s">
        <v>186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("&amp;"'"&amp;B49&amp;"'"&amp;","&amp;"'"&amp;C49&amp;"'"&amp;","&amp;VLOOKUP(D49,コード!$C$48:$I$101,2,FALSE)&amp;","&amp;E49&amp;","&amp;F49&amp;","&amp;G49&amp;","&amp;VLOOKUP(H49,コード!$C$5:$I$11,2,FALSE)&amp;");"</f>
        <v>INSERT INTO m_monster VALUES ('monster044','イビルウェポン',,132,19,16,);</v>
      </c>
    </row>
    <row r="50" spans="2:11">
      <c r="B50" s="43" t="s">
        <v>465</v>
      </c>
      <c r="C50" s="8" t="s">
        <v>229</v>
      </c>
      <c r="D50" s="9" t="s">
        <v>186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("&amp;"'"&amp;B50&amp;"'"&amp;","&amp;"'"&amp;C50&amp;"'"&amp;","&amp;VLOOKUP(D50,コード!$C$48:$I$101,2,FALSE)&amp;","&amp;E50&amp;","&amp;F50&amp;","&amp;G50&amp;","&amp;VLOOKUP(H50,コード!$C$5:$I$11,2,FALSE)&amp;");"</f>
        <v>INSERT INTO m_monster VALUES ('monster045','エレメントソード',,158,24,20,);</v>
      </c>
    </row>
    <row r="51" spans="2:11">
      <c r="B51" s="43" t="s">
        <v>466</v>
      </c>
      <c r="C51" s="8" t="s">
        <v>238</v>
      </c>
      <c r="D51" s="8" t="s">
        <v>269</v>
      </c>
      <c r="E51" s="10">
        <v>110</v>
      </c>
      <c r="F51" s="10">
        <v>11</v>
      </c>
      <c r="G51" s="10">
        <v>19</v>
      </c>
      <c r="H51" s="10" t="s">
        <v>150</v>
      </c>
      <c r="K51" s="5" t="str">
        <f>"INSERT INTO m_monster VALUES ("&amp;"'"&amp;B51&amp;"'"&amp;","&amp;"'"&amp;C51&amp;"'"&amp;","&amp;VLOOKUP(D51,コード!$C$48:$I$101,2,FALSE)&amp;","&amp;E51&amp;","&amp;F51&amp;","&amp;G51&amp;","&amp;VLOOKUP(H51,コード!$C$5:$I$11,2,FALSE)&amp;");"</f>
        <v>INSERT INTO m_monster VALUES ('monster046','ケルベロス',,110,11,19,);</v>
      </c>
    </row>
    <row r="52" spans="2:11">
      <c r="B52" s="43" t="s">
        <v>467</v>
      </c>
      <c r="C52" s="8" t="s">
        <v>270</v>
      </c>
      <c r="D52" s="8" t="s">
        <v>269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150</v>
      </c>
      <c r="K52" s="5" t="str">
        <f>"INSERT INTO m_monster VALUES ("&amp;"'"&amp;B52&amp;"'"&amp;","&amp;"'"&amp;C52&amp;"'"&amp;","&amp;VLOOKUP(D52,コード!$C$48:$I$101,2,FALSE)&amp;","&amp;E52&amp;","&amp;F52&amp;","&amp;G52&amp;","&amp;VLOOKUP(H52,コード!$C$5:$I$11,2,FALSE)&amp;");"</f>
        <v>INSERT INTO m_monster VALUES ('monster047','バウンドウルフ',,132,14,24,);</v>
      </c>
    </row>
    <row r="53" spans="2:11">
      <c r="B53" s="43" t="s">
        <v>468</v>
      </c>
      <c r="C53" s="8" t="s">
        <v>271</v>
      </c>
      <c r="D53" s="8" t="s">
        <v>269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150</v>
      </c>
      <c r="K53" s="5" t="str">
        <f>"INSERT INTO m_monster VALUES ("&amp;"'"&amp;B53&amp;"'"&amp;","&amp;"'"&amp;C53&amp;"'"&amp;","&amp;VLOOKUP(D53,コード!$C$48:$I$101,2,FALSE)&amp;","&amp;E53&amp;","&amp;F53&amp;","&amp;G53&amp;","&amp;VLOOKUP(H53,コード!$C$5:$I$11,2,FALSE)&amp;");"</f>
        <v>INSERT INTO m_monster VALUES ('monster048','ジャッカル',,158,18,31,);</v>
      </c>
    </row>
    <row r="54" spans="2:11">
      <c r="B54" s="43" t="s">
        <v>469</v>
      </c>
      <c r="C54" s="8" t="s">
        <v>274</v>
      </c>
      <c r="D54" s="8" t="s">
        <v>273</v>
      </c>
      <c r="E54" s="10">
        <v>120</v>
      </c>
      <c r="F54" s="10">
        <v>16</v>
      </c>
      <c r="G54" s="10">
        <v>14</v>
      </c>
      <c r="H54" s="10" t="s">
        <v>151</v>
      </c>
      <c r="K54" s="5" t="str">
        <f>"INSERT INTO m_monster VALUES ("&amp;"'"&amp;B54&amp;"'"&amp;","&amp;"'"&amp;C54&amp;"'"&amp;","&amp;VLOOKUP(D54,コード!$C$48:$I$101,2,FALSE)&amp;","&amp;E54&amp;","&amp;F54&amp;","&amp;G54&amp;","&amp;VLOOKUP(H54,コード!$C$5:$I$11,2,FALSE)&amp;");"</f>
        <v>INSERT INTO m_monster VALUES ('monster049','ダックソルジャー',,120,16,14,);</v>
      </c>
    </row>
    <row r="55" spans="2:11">
      <c r="B55" s="43" t="s">
        <v>470</v>
      </c>
      <c r="C55" s="8" t="s">
        <v>235</v>
      </c>
      <c r="D55" s="8" t="s">
        <v>273</v>
      </c>
      <c r="E55" s="10">
        <v>160</v>
      </c>
      <c r="F55" s="10">
        <v>24</v>
      </c>
      <c r="G55" s="10">
        <v>20</v>
      </c>
      <c r="H55" s="10" t="s">
        <v>151</v>
      </c>
      <c r="K55" s="5" t="str">
        <f>"INSERT INTO m_monster VALUES ("&amp;"'"&amp;B55&amp;"'"&amp;","&amp;"'"&amp;C55&amp;"'"&amp;","&amp;VLOOKUP(D55,コード!$C$48:$I$101,2,FALSE)&amp;","&amp;E55&amp;","&amp;F55&amp;","&amp;G55&amp;","&amp;VLOOKUP(H55,コード!$C$5:$I$11,2,FALSE)&amp;");"</f>
        <v>INSERT INTO m_monster VALUES ('monster050','ダックジェネラル',,160,24,20,);</v>
      </c>
    </row>
    <row r="56" spans="2:11">
      <c r="B56" s="43" t="s">
        <v>471</v>
      </c>
      <c r="C56" s="8" t="s">
        <v>237</v>
      </c>
      <c r="D56" s="8" t="s">
        <v>237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("&amp;"'"&amp;B56&amp;"'"&amp;","&amp;"'"&amp;C56&amp;"'"&amp;","&amp;VLOOKUP(D56,コード!$C$48:$I$101,2,FALSE)&amp;","&amp;E56&amp;","&amp;F56&amp;","&amp;G56&amp;","&amp;VLOOKUP(H56,コード!$C$5:$I$11,2,FALSE)&amp;");"</f>
        <v>INSERT INTO m_monster VALUES ('monster051','モールベア',,130,14,18,);</v>
      </c>
    </row>
    <row r="57" spans="2:11">
      <c r="B57" s="43" t="s">
        <v>472</v>
      </c>
      <c r="C57" s="8" t="s">
        <v>275</v>
      </c>
      <c r="D57" s="8" t="s">
        <v>237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("&amp;"'"&amp;B57&amp;"'"&amp;","&amp;"'"&amp;C57&amp;"'"&amp;","&amp;VLOOKUP(D57,コード!$C$48:$I$101,2,FALSE)&amp;","&amp;E57&amp;","&amp;F57&amp;","&amp;G57&amp;","&amp;VLOOKUP(H57,コード!$C$5:$I$11,2,FALSE)&amp;");"</f>
        <v>INSERT INTO m_monster VALUES ('monster052','ニードリオン',,170,18,26,);</v>
      </c>
    </row>
    <row r="58" spans="2:11">
      <c r="B58" s="43" t="s">
        <v>473</v>
      </c>
      <c r="C58" s="8" t="s">
        <v>239</v>
      </c>
      <c r="D58" s="8" t="s">
        <v>239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("&amp;"'"&amp;B58&amp;"'"&amp;","&amp;"'"&amp;C58&amp;"'"&amp;","&amp;VLOOKUP(D58,コード!$C$48:$I$101,2,FALSE)&amp;","&amp;E58&amp;","&amp;F58&amp;","&amp;G58&amp;","&amp;VLOOKUP(H58,コード!$C$5:$I$11,2,FALSE)&amp;");"</f>
        <v>INSERT INTO m_monster VALUES ('monster053','ギャルビー',,120,13,16,);</v>
      </c>
    </row>
    <row r="59" spans="2:11">
      <c r="B59" s="43" t="s">
        <v>474</v>
      </c>
      <c r="C59" s="8" t="s">
        <v>276</v>
      </c>
      <c r="D59" s="8" t="s">
        <v>239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("&amp;"'"&amp;B59&amp;"'"&amp;","&amp;"'"&amp;C59&amp;"'"&amp;","&amp;VLOOKUP(D59,コード!$C$48:$I$101,2,FALSE)&amp;","&amp;E59&amp;","&amp;F59&amp;","&amp;G59&amp;","&amp;VLOOKUP(H59,コード!$C$5:$I$11,2,FALSE)&amp;");"</f>
        <v>INSERT INTO m_monster VALUES ('monster054','レディビー',,144,16,20,);</v>
      </c>
    </row>
    <row r="60" spans="2:11">
      <c r="B60" s="43" t="s">
        <v>475</v>
      </c>
      <c r="C60" s="8" t="s">
        <v>277</v>
      </c>
      <c r="D60" s="8" t="s">
        <v>239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("&amp;"'"&amp;B60&amp;"'"&amp;","&amp;"'"&amp;C60&amp;"'"&amp;","&amp;VLOOKUP(D60,コード!$C$48:$I$101,2,FALSE)&amp;","&amp;E60&amp;","&amp;F60&amp;","&amp;G60&amp;","&amp;VLOOKUP(H60,コード!$C$5:$I$11,2,FALSE)&amp;");"</f>
        <v>INSERT INTO m_monster VALUES ('monster055','クインビー',,172,20,26,);</v>
      </c>
    </row>
    <row r="61" spans="2:11">
      <c r="B61" s="43" t="s">
        <v>476</v>
      </c>
      <c r="C61" s="8" t="s">
        <v>241</v>
      </c>
      <c r="D61" s="8" t="s">
        <v>241</v>
      </c>
      <c r="E61" s="10">
        <v>130</v>
      </c>
      <c r="F61" s="10">
        <v>16</v>
      </c>
      <c r="G61" s="10">
        <v>16</v>
      </c>
      <c r="H61" s="10" t="s">
        <v>150</v>
      </c>
      <c r="K61" s="5" t="str">
        <f>"INSERT INTO m_monster VALUES ("&amp;"'"&amp;B61&amp;"'"&amp;","&amp;"'"&amp;C61&amp;"'"&amp;","&amp;VLOOKUP(D61,コード!$C$48:$I$101,2,FALSE)&amp;","&amp;E61&amp;","&amp;F61&amp;","&amp;G61&amp;","&amp;VLOOKUP(H61,コード!$C$5:$I$11,2,FALSE)&amp;");"</f>
        <v>INSERT INTO m_monster VALUES ('monster056','サハギン',,130,16,16,);</v>
      </c>
    </row>
    <row r="62" spans="2:11">
      <c r="B62" s="43" t="s">
        <v>477</v>
      </c>
      <c r="C62" s="8" t="s">
        <v>278</v>
      </c>
      <c r="D62" s="8" t="s">
        <v>241</v>
      </c>
      <c r="E62" s="10">
        <v>150</v>
      </c>
      <c r="F62" s="10">
        <v>22</v>
      </c>
      <c r="G62" s="10">
        <v>19</v>
      </c>
      <c r="H62" s="10" t="s">
        <v>150</v>
      </c>
      <c r="K62" s="5" t="str">
        <f>"INSERT INTO m_monster VALUES ("&amp;"'"&amp;B62&amp;"'"&amp;","&amp;"'"&amp;C62&amp;"'"&amp;","&amp;VLOOKUP(D62,コード!$C$48:$I$101,2,FALSE)&amp;","&amp;E62&amp;","&amp;F62&amp;","&amp;G62&amp;","&amp;VLOOKUP(H62,コード!$C$5:$I$11,2,FALSE)&amp;");"</f>
        <v>INSERT INTO m_monster VALUES ('monster057','プチポセイドン',,150,22,19,);</v>
      </c>
    </row>
    <row r="63" spans="2:11">
      <c r="B63" s="43" t="s">
        <v>478</v>
      </c>
      <c r="C63" s="8" t="s">
        <v>199</v>
      </c>
      <c r="D63" s="8" t="s">
        <v>199</v>
      </c>
      <c r="E63" s="10">
        <v>130</v>
      </c>
      <c r="F63" s="10">
        <v>15</v>
      </c>
      <c r="G63" s="10">
        <v>11</v>
      </c>
      <c r="H63" s="10" t="s">
        <v>299</v>
      </c>
      <c r="K63" s="5" t="str">
        <f>"INSERT INTO m_monster VALUES ("&amp;"'"&amp;B63&amp;"'"&amp;","&amp;"'"&amp;C63&amp;"'"&amp;","&amp;VLOOKUP(D63,コード!$C$48:$I$101,2,FALSE)&amp;","&amp;E63&amp;","&amp;F63&amp;","&amp;G63&amp;","&amp;VLOOKUP(H63,コード!$C$5:$I$11,2,FALSE)&amp;");"</f>
        <v>INSERT INTO m_monster VALUES ('monster058','クロウラー',,130,15,11,);</v>
      </c>
    </row>
    <row r="64" spans="2:11">
      <c r="B64" s="43" t="s">
        <v>479</v>
      </c>
      <c r="C64" s="8" t="s">
        <v>279</v>
      </c>
      <c r="D64" s="8" t="s">
        <v>199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("&amp;"'"&amp;B64&amp;"'"&amp;","&amp;"'"&amp;C64&amp;"'"&amp;","&amp;VLOOKUP(D64,コード!$C$48:$I$101,2,FALSE)&amp;","&amp;E64&amp;","&amp;F64&amp;","&amp;G64&amp;","&amp;VLOOKUP(H64,コード!$C$5:$I$11,2,FALSE)&amp;");"</f>
        <v>INSERT INTO m_monster VALUES ('monster059','メガクロウラー',,156,19,14,);</v>
      </c>
    </row>
    <row r="65" spans="2:11">
      <c r="B65" s="43" t="s">
        <v>480</v>
      </c>
      <c r="C65" s="8" t="s">
        <v>280</v>
      </c>
      <c r="D65" s="8" t="s">
        <v>199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("&amp;"'"&amp;B65&amp;"'"&amp;","&amp;"'"&amp;C65&amp;"'"&amp;","&amp;VLOOKUP(D65,コード!$C$48:$I$101,2,FALSE)&amp;","&amp;E65&amp;","&amp;F65&amp;","&amp;G65&amp;","&amp;VLOOKUP(H65,コード!$C$5:$I$11,2,FALSE)&amp;");"</f>
        <v>INSERT INTO m_monster VALUES ('monster060','ギガクロウラー',,187,24,18,);</v>
      </c>
    </row>
    <row r="66" spans="2:11">
      <c r="B66" s="43" t="s">
        <v>481</v>
      </c>
      <c r="C66" s="8" t="s">
        <v>242</v>
      </c>
      <c r="D66" s="8" t="s">
        <v>282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("&amp;"'"&amp;B66&amp;"'"&amp;","&amp;"'"&amp;C66&amp;"'"&amp;","&amp;VLOOKUP(D66,コード!$C$48:$I$101,2,FALSE)&amp;","&amp;E66&amp;","&amp;F66&amp;","&amp;G66&amp;","&amp;VLOOKUP(H66,コード!$C$5:$I$11,2,FALSE)&amp;");"</f>
        <v>INSERT INTO m_monster VALUES ('monster061','ぱっくんオタマ',,110,12,10,);</v>
      </c>
    </row>
    <row r="67" spans="2:11">
      <c r="B67" s="43" t="s">
        <v>482</v>
      </c>
      <c r="C67" s="8" t="s">
        <v>283</v>
      </c>
      <c r="D67" s="8" t="s">
        <v>282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("&amp;"'"&amp;B67&amp;"'"&amp;","&amp;"'"&amp;C67&amp;"'"&amp;","&amp;VLOOKUP(D67,コード!$C$48:$I$101,2,FALSE)&amp;","&amp;E67&amp;","&amp;F67&amp;","&amp;G67&amp;","&amp;VLOOKUP(H67,コード!$C$5:$I$11,2,FALSE)&amp;");"</f>
        <v>INSERT INTO m_monster VALUES ('monster062','ぱっくりオタマ',,132,15,13,);</v>
      </c>
    </row>
    <row r="68" spans="2:11">
      <c r="B68" s="43" t="s">
        <v>483</v>
      </c>
      <c r="C68" s="8" t="s">
        <v>284</v>
      </c>
      <c r="D68" s="8" t="s">
        <v>282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151</v>
      </c>
      <c r="K68" s="5" t="str">
        <f>"INSERT INTO m_monster VALUES ("&amp;"'"&amp;B68&amp;"'"&amp;","&amp;"'"&amp;C68&amp;"'"&amp;","&amp;VLOOKUP(D68,コード!$C$48:$I$101,2,FALSE)&amp;","&amp;E68&amp;","&amp;F68&amp;","&amp;G68&amp;","&amp;VLOOKUP(H68,コード!$C$5:$I$11,2,FALSE)&amp;");"</f>
        <v>INSERT INTO m_monster VALUES ('monster063','ぱっくんトカゲ',,158,19,16,);</v>
      </c>
    </row>
    <row r="69" spans="2:11">
      <c r="B69" s="43" t="s">
        <v>484</v>
      </c>
      <c r="C69" s="8" t="s">
        <v>285</v>
      </c>
      <c r="D69" s="8" t="s">
        <v>282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151</v>
      </c>
      <c r="K69" s="5" t="str">
        <f>"INSERT INTO m_monster VALUES ("&amp;"'"&amp;B69&amp;"'"&amp;","&amp;"'"&amp;C69&amp;"'"&amp;","&amp;VLOOKUP(D69,コード!$C$48:$I$101,2,FALSE)&amp;","&amp;E69&amp;","&amp;F69&amp;","&amp;G69&amp;","&amp;VLOOKUP(H69,コード!$C$5:$I$11,2,FALSE)&amp;");"</f>
        <v>INSERT INTO m_monster VALUES ('monster064','ぱっくんドラゴン',,189,24,20,);</v>
      </c>
    </row>
    <row r="70" spans="2:11">
      <c r="B70" s="43" t="s">
        <v>485</v>
      </c>
      <c r="C70" s="8" t="s">
        <v>244</v>
      </c>
      <c r="D70" s="8" t="s">
        <v>244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("&amp;"'"&amp;B70&amp;"'"&amp;","&amp;"'"&amp;C70&amp;"'"&amp;","&amp;VLOOKUP(D70,コード!$C$48:$I$101,2,FALSE)&amp;","&amp;E70&amp;","&amp;F70&amp;","&amp;G70&amp;","&amp;VLOOKUP(H70,コード!$C$5:$I$11,2,FALSE)&amp;");"</f>
        <v>INSERT INTO m_monster VALUES ('monster065','チビデビル',,120,13,17,);</v>
      </c>
    </row>
    <row r="71" spans="2:11">
      <c r="B71" s="43" t="s">
        <v>486</v>
      </c>
      <c r="C71" s="8" t="s">
        <v>288</v>
      </c>
      <c r="D71" s="8" t="s">
        <v>244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("&amp;"'"&amp;B71&amp;"'"&amp;","&amp;"'"&amp;C71&amp;"'"&amp;","&amp;VLOOKUP(D71,コード!$C$48:$I$101,2,FALSE)&amp;","&amp;E71&amp;","&amp;F71&amp;","&amp;G71&amp;","&amp;VLOOKUP(H71,コード!$C$5:$I$11,2,FALSE)&amp;");"</f>
        <v>INSERT INTO m_monster VALUES ('monster066','グレムリン',,160,18,20,);</v>
      </c>
    </row>
    <row r="72" spans="2:11">
      <c r="B72" s="43" t="s">
        <v>487</v>
      </c>
      <c r="C72" s="8" t="s">
        <v>246</v>
      </c>
      <c r="D72" s="8" t="s">
        <v>246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("&amp;"'"&amp;B72&amp;"'"&amp;","&amp;"'"&amp;C72&amp;"'"&amp;","&amp;VLOOKUP(D72,コード!$C$48:$I$101,2,FALSE)&amp;","&amp;E72&amp;","&amp;F72&amp;","&amp;G72&amp;","&amp;VLOOKUP(H72,コード!$C$5:$I$11,2,FALSE)&amp;");"</f>
        <v>INSERT INTO m_monster VALUES ('monster067','オーガボックス',,140,18,17,);</v>
      </c>
    </row>
    <row r="73" spans="2:11">
      <c r="B73" s="43" t="s">
        <v>488</v>
      </c>
      <c r="C73" s="8" t="s">
        <v>289</v>
      </c>
      <c r="D73" s="8" t="s">
        <v>246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("&amp;"'"&amp;B73&amp;"'"&amp;","&amp;"'"&amp;C73&amp;"'"&amp;","&amp;VLOOKUP(D73,コード!$C$48:$I$101,2,FALSE)&amp;","&amp;E73&amp;","&amp;F73&amp;","&amp;G73&amp;","&amp;VLOOKUP(H73,コード!$C$5:$I$11,2,FALSE)&amp;");"</f>
        <v>INSERT INTO m_monster VALUES ('monster068','カイザーミミック',,170,23,20,);</v>
      </c>
    </row>
    <row r="74" spans="2:11">
      <c r="B74" s="43" t="s">
        <v>489</v>
      </c>
      <c r="C74" s="8" t="s">
        <v>248</v>
      </c>
      <c r="D74" s="8" t="s">
        <v>248</v>
      </c>
      <c r="E74" s="10">
        <v>140</v>
      </c>
      <c r="F74" s="10">
        <v>15</v>
      </c>
      <c r="G74" s="10">
        <v>12</v>
      </c>
      <c r="H74" s="10" t="s">
        <v>151</v>
      </c>
      <c r="K74" s="5" t="str">
        <f>"INSERT INTO m_monster VALUES ("&amp;"'"&amp;B74&amp;"'"&amp;","&amp;"'"&amp;C74&amp;"'"&amp;","&amp;VLOOKUP(D74,コード!$C$48:$I$101,2,FALSE)&amp;","&amp;E74&amp;","&amp;F74&amp;","&amp;G74&amp;","&amp;VLOOKUP(H74,コード!$C$5:$I$11,2,FALSE)&amp;");"</f>
        <v>INSERT INTO m_monster VALUES ('monster069','バレッテ',,140,15,12,);</v>
      </c>
    </row>
    <row r="75" spans="2:11">
      <c r="B75" s="43" t="s">
        <v>490</v>
      </c>
      <c r="C75" s="8" t="s">
        <v>290</v>
      </c>
      <c r="D75" s="8" t="s">
        <v>248</v>
      </c>
      <c r="E75" s="10">
        <v>180</v>
      </c>
      <c r="F75" s="10">
        <v>19</v>
      </c>
      <c r="G75" s="10">
        <v>14</v>
      </c>
      <c r="H75" s="10" t="s">
        <v>151</v>
      </c>
      <c r="K75" s="5" t="str">
        <f>"INSERT INTO m_monster VALUES ("&amp;"'"&amp;B75&amp;"'"&amp;","&amp;"'"&amp;C75&amp;"'"&amp;","&amp;VLOOKUP(D75,コード!$C$48:$I$101,2,FALSE)&amp;","&amp;E75&amp;","&amp;F75&amp;","&amp;G75&amp;","&amp;VLOOKUP(H75,コード!$C$5:$I$11,2,FALSE)&amp;");"</f>
        <v>INSERT INTO m_monster VALUES ('monster070','ゴールドバレッテ',,180,19,14,);</v>
      </c>
    </row>
    <row r="76" spans="2:11">
      <c r="B76" s="43" t="s">
        <v>491</v>
      </c>
      <c r="C76" s="8" t="s">
        <v>250</v>
      </c>
      <c r="D76" s="8" t="s">
        <v>250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("&amp;"'"&amp;B76&amp;"'"&amp;","&amp;"'"&amp;C76&amp;"'"&amp;","&amp;VLOOKUP(D76,コード!$C$48:$I$101,2,FALSE)&amp;","&amp;E76&amp;","&amp;F76&amp;","&amp;G76&amp;","&amp;VLOOKUP(H76,コード!$C$5:$I$11,2,FALSE)&amp;");"</f>
        <v>INSERT INTO m_monster VALUES ('monster071','バシリスク',,110,12,15,);</v>
      </c>
    </row>
    <row r="77" spans="2:11">
      <c r="B77" s="43" t="s">
        <v>492</v>
      </c>
      <c r="C77" s="8" t="s">
        <v>291</v>
      </c>
      <c r="D77" s="8" t="s">
        <v>250</v>
      </c>
      <c r="E77" s="10">
        <v>150</v>
      </c>
      <c r="F77" s="10">
        <v>18</v>
      </c>
      <c r="G77" s="10">
        <v>22</v>
      </c>
      <c r="H77" s="10" t="s">
        <v>151</v>
      </c>
      <c r="K77" s="5" t="str">
        <f>"INSERT INTO m_monster VALUES ("&amp;"'"&amp;B77&amp;"'"&amp;","&amp;"'"&amp;C77&amp;"'"&amp;","&amp;VLOOKUP(D77,コード!$C$48:$I$101,2,FALSE)&amp;","&amp;E77&amp;","&amp;F77&amp;","&amp;G77&amp;","&amp;VLOOKUP(H77,コード!$C$5:$I$11,2,FALSE)&amp;");"</f>
        <v>INSERT INTO m_monster VALUES ('monster072','ファイアドレイク',,150,18,22,);</v>
      </c>
    </row>
    <row r="78" spans="2:11">
      <c r="B78" s="43" t="s">
        <v>493</v>
      </c>
      <c r="C78" s="8" t="s">
        <v>252</v>
      </c>
      <c r="D78" s="8" t="s">
        <v>252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("&amp;"'"&amp;B78&amp;"'"&amp;","&amp;"'"&amp;C78&amp;"'"&amp;","&amp;VLOOKUP(D78,コード!$C$48:$I$101,2,FALSE)&amp;","&amp;E78&amp;","&amp;F78&amp;","&amp;G78&amp;","&amp;VLOOKUP(H78,コード!$C$5:$I$11,2,FALSE)&amp;");"</f>
        <v>INSERT INTO m_monster VALUES ('monster073','スペクター',,130,13,17,);</v>
      </c>
    </row>
    <row r="79" spans="2:11">
      <c r="B79" s="43" t="s">
        <v>494</v>
      </c>
      <c r="C79" s="8" t="s">
        <v>253</v>
      </c>
      <c r="D79" s="8" t="s">
        <v>252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("&amp;"'"&amp;B79&amp;"'"&amp;","&amp;"'"&amp;C79&amp;"'"&amp;","&amp;VLOOKUP(D79,コード!$C$48:$I$101,2,FALSE)&amp;","&amp;E79&amp;","&amp;F79&amp;","&amp;G79&amp;","&amp;VLOOKUP(H79,コード!$C$5:$I$11,2,FALSE)&amp;");"</f>
        <v>INSERT INTO m_monster VALUES ('monster074','ゴースト',,160,17,20,);</v>
      </c>
    </row>
    <row r="80" spans="2:11">
      <c r="B80" s="43" t="s">
        <v>495</v>
      </c>
      <c r="C80" s="8" t="s">
        <v>255</v>
      </c>
      <c r="D80" s="8" t="s">
        <v>255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("&amp;"'"&amp;B80&amp;"'"&amp;","&amp;"'"&amp;C80&amp;"'"&amp;","&amp;VLOOKUP(D80,コード!$C$48:$I$101,2,FALSE)&amp;","&amp;E80&amp;","&amp;F80&amp;","&amp;G80&amp;","&amp;VLOOKUP(H80,コード!$C$5:$I$11,2,FALSE)&amp;");"</f>
        <v>INSERT INTO m_monster VALUES ('monster075','ユニコーンヘッド',,120,15,14,);</v>
      </c>
    </row>
    <row r="81" spans="2:11">
      <c r="B81" s="43" t="s">
        <v>496</v>
      </c>
      <c r="C81" s="8" t="s">
        <v>292</v>
      </c>
      <c r="D81" s="8" t="s">
        <v>255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("&amp;"'"&amp;B81&amp;"'"&amp;","&amp;"'"&amp;C81&amp;"'"&amp;","&amp;VLOOKUP(D81,コード!$C$48:$I$101,2,FALSE)&amp;","&amp;E81&amp;","&amp;F81&amp;","&amp;G81&amp;","&amp;VLOOKUP(H81,コード!$C$5:$I$11,2,FALSE)&amp;");"</f>
        <v>INSERT INTO m_monster VALUES ('monster076','ゴールドユニコ',,170,22,25,);</v>
      </c>
    </row>
    <row r="82" spans="2:11">
      <c r="B82" s="43" t="s">
        <v>497</v>
      </c>
      <c r="C82" s="8" t="s">
        <v>201</v>
      </c>
      <c r="D82" s="8" t="s">
        <v>201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("&amp;"'"&amp;B82&amp;"'"&amp;","&amp;"'"&amp;C82&amp;"'"&amp;","&amp;VLOOKUP(D82,コード!$C$48:$I$101,2,FALSE)&amp;","&amp;E82&amp;","&amp;F82&amp;","&amp;G82&amp;","&amp;VLOOKUP(H82,コード!$C$5:$I$11,2,FALSE)&amp;");"</f>
        <v>INSERT INTO m_monster VALUES ('monster077','シェイプシフター',,130,12,14,);</v>
      </c>
    </row>
    <row r="83" spans="2:11">
      <c r="B83" s="43" t="s">
        <v>498</v>
      </c>
      <c r="C83" s="8" t="s">
        <v>293</v>
      </c>
      <c r="D83" s="8" t="s">
        <v>201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("&amp;"'"&amp;B83&amp;"'"&amp;","&amp;"'"&amp;C83&amp;"'"&amp;","&amp;VLOOKUP(D83,コード!$C$48:$I$101,2,FALSE)&amp;","&amp;E83&amp;","&amp;F83&amp;","&amp;G83&amp;","&amp;VLOOKUP(H83,コード!$C$5:$I$11,2,FALSE)&amp;");"</f>
        <v>INSERT INTO m_monster VALUES ('monster078','シャドウゼロ',,170,15,18,);</v>
      </c>
    </row>
    <row r="84" spans="2:11">
      <c r="B84" s="43" t="s">
        <v>499</v>
      </c>
      <c r="C84" s="8" t="s">
        <v>294</v>
      </c>
      <c r="D84" s="8" t="s">
        <v>201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("&amp;"'"&amp;B84&amp;"'"&amp;","&amp;"'"&amp;C84&amp;"'"&amp;","&amp;VLOOKUP(D84,コード!$C$48:$I$101,2,FALSE)&amp;","&amp;E84&amp;","&amp;F84&amp;","&amp;G84&amp;","&amp;VLOOKUP(H84,コード!$C$5:$I$11,2,FALSE)&amp;");"</f>
        <v>INSERT INTO m_monster VALUES ('monster079','シャドウゼロワン',,190,19,23,);</v>
      </c>
    </row>
    <row r="85" spans="2:11">
      <c r="B85" s="43" t="s">
        <v>500</v>
      </c>
      <c r="C85" s="8" t="s">
        <v>203</v>
      </c>
      <c r="D85" s="8" t="s">
        <v>203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("&amp;"'"&amp;B85&amp;"'"&amp;","&amp;"'"&amp;C85&amp;"'"&amp;","&amp;VLOOKUP(D85,コード!$C$48:$I$101,2,FALSE)&amp;","&amp;E85&amp;","&amp;F85&amp;","&amp;G85&amp;","&amp;VLOOKUP(H85,コード!$C$5:$I$11,2,FALSE)&amp;");"</f>
        <v>INSERT INTO m_monster VALUES ('monster080','ボルダー',,120,13,14,);</v>
      </c>
    </row>
    <row r="86" spans="2:11">
      <c r="B86" s="43" t="s">
        <v>501</v>
      </c>
      <c r="C86" s="8" t="s">
        <v>295</v>
      </c>
      <c r="D86" s="8" t="s">
        <v>203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("&amp;"'"&amp;B86&amp;"'"&amp;","&amp;"'"&amp;C86&amp;"'"&amp;","&amp;VLOOKUP(D86,コード!$C$48:$I$101,2,FALSE)&amp;","&amp;E86&amp;","&amp;F86&amp;","&amp;G86&amp;","&amp;VLOOKUP(H86,コード!$C$5:$I$11,2,FALSE)&amp;");"</f>
        <v>INSERT INTO m_monster VALUES ('monster081','パワーボルダー',,144,16,18,);</v>
      </c>
    </row>
    <row r="87" spans="2:11">
      <c r="B87" s="43" t="s">
        <v>502</v>
      </c>
      <c r="C87" s="8" t="s">
        <v>296</v>
      </c>
      <c r="D87" s="8" t="s">
        <v>203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("&amp;"'"&amp;B87&amp;"'"&amp;","&amp;"'"&amp;C87&amp;"'"&amp;","&amp;VLOOKUP(D87,コード!$C$48:$I$101,2,FALSE)&amp;","&amp;E87&amp;","&amp;F87&amp;","&amp;G87&amp;","&amp;VLOOKUP(H87,コード!$C$5:$I$11,2,FALSE)&amp;");"</f>
        <v>INSERT INTO m_monster VALUES ('monster082','デスボルダー',,172,20,23,);</v>
      </c>
    </row>
    <row r="88" spans="2:11">
      <c r="B88" s="43" t="s">
        <v>503</v>
      </c>
      <c r="C88" s="8" t="s">
        <v>287</v>
      </c>
      <c r="D88" s="8" t="s">
        <v>287</v>
      </c>
      <c r="E88" s="10">
        <v>130</v>
      </c>
      <c r="F88" s="10">
        <v>17</v>
      </c>
      <c r="G88" s="10">
        <v>12</v>
      </c>
      <c r="H88" s="10" t="s">
        <v>151</v>
      </c>
      <c r="K88" s="5" t="str">
        <f>"INSERT INTO m_monster VALUES ("&amp;"'"&amp;B88&amp;"'"&amp;","&amp;"'"&amp;C88&amp;"'"&amp;","&amp;VLOOKUP(D88,コード!$C$48:$I$101,2,FALSE)&amp;","&amp;E88&amp;","&amp;F88&amp;","&amp;G88&amp;","&amp;VLOOKUP(H88,コード!$C$5:$I$11,2,FALSE)&amp;");"</f>
        <v>INSERT INTO m_monster VALUES ('monster083','パンプキンボム',,130,17,12,);</v>
      </c>
    </row>
    <row r="89" spans="2:11">
      <c r="B89" s="43" t="s">
        <v>504</v>
      </c>
      <c r="C89" s="8" t="s">
        <v>297</v>
      </c>
      <c r="D89" s="8" t="s">
        <v>287</v>
      </c>
      <c r="E89" s="10">
        <v>160</v>
      </c>
      <c r="F89" s="10">
        <v>24</v>
      </c>
      <c r="G89" s="10">
        <v>15</v>
      </c>
      <c r="H89" s="10" t="s">
        <v>151</v>
      </c>
      <c r="K89" s="5" t="str">
        <f>"INSERT INTO m_monster VALUES ("&amp;"'"&amp;B89&amp;"'"&amp;","&amp;"'"&amp;C89&amp;"'"&amp;","&amp;VLOOKUP(D89,コード!$C$48:$I$101,2,FALSE)&amp;","&amp;E89&amp;","&amp;F89&amp;","&amp;G89&amp;","&amp;VLOOKUP(H89,コード!$C$5:$I$11,2,FALSE)&amp;");"</f>
        <v>INSERT INTO m_monster VALUES ('monster084','グレネードボム',,160,24,15,);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16" workbookViewId="0">
      <selection activeCell="A3" sqref="A3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418</v>
      </c>
      <c r="C4" s="2" t="s">
        <v>155</v>
      </c>
      <c r="D4" s="2" t="s">
        <v>156</v>
      </c>
      <c r="E4" s="2" t="s">
        <v>157</v>
      </c>
      <c r="G4" s="22" t="s">
        <v>154</v>
      </c>
      <c r="H4" s="23" t="s">
        <v>162</v>
      </c>
      <c r="I4" s="22" t="s">
        <v>185</v>
      </c>
      <c r="K4" s="22" t="s">
        <v>231</v>
      </c>
      <c r="L4" s="22" t="s">
        <v>232</v>
      </c>
      <c r="M4" s="22" t="s">
        <v>298</v>
      </c>
    </row>
    <row r="5" spans="2:15">
      <c r="B5" s="44" t="s">
        <v>512</v>
      </c>
      <c r="C5" s="21" t="s">
        <v>419</v>
      </c>
      <c r="D5" s="21" t="s">
        <v>1017</v>
      </c>
      <c r="E5" s="21" t="b">
        <v>0</v>
      </c>
      <c r="G5" s="21" t="str">
        <f>VLOOKUP(C5,モンスター!$B$6:$H$100,2,FALSE)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1041</v>
      </c>
      <c r="L5" s="21" t="str">
        <f>VLOOKUP(K5,スキル!$C$4:$D$99,2,FALSE)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513</v>
      </c>
      <c r="C6" s="21" t="s">
        <v>419</v>
      </c>
      <c r="D6" s="21" t="s">
        <v>1017</v>
      </c>
      <c r="E6" s="21" t="b">
        <v>0</v>
      </c>
      <c r="G6" s="21" t="str">
        <f>VLOOKUP(C6,モンスター!$B$6:$H$100,2,FALSE)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1042</v>
      </c>
      <c r="L6" s="21" t="str">
        <f>VLOOKUP(K6,スキル!$C$4:$D$99,2,FALSE)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514</v>
      </c>
      <c r="C7" s="21" t="s">
        <v>419</v>
      </c>
      <c r="D7" s="21" t="s">
        <v>1017</v>
      </c>
      <c r="E7" s="21" t="b">
        <v>0</v>
      </c>
      <c r="G7" s="21" t="str">
        <f>VLOOKUP(C7,モンスター!$B$6:$H$100,2,FALSE)</f>
        <v>キラービー</v>
      </c>
      <c r="H7" s="24">
        <f>VLOOKUP(D7,スキル!$C$4:$O$96,8,FALSE)</f>
        <v>10</v>
      </c>
      <c r="I7" s="25" t="str">
        <f>VLOOKUP(D7,スキル!$C$4:$O$96,2,FALSE)</f>
        <v>斬撃</v>
      </c>
      <c r="K7" s="43" t="s">
        <v>1065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515</v>
      </c>
      <c r="C8" s="21" t="s">
        <v>419</v>
      </c>
      <c r="D8" s="21" t="s">
        <v>1018</v>
      </c>
      <c r="E8" s="21" t="b">
        <v>0</v>
      </c>
      <c r="G8" s="21" t="str">
        <f>VLOOKUP(C8,モンスター!$B$6:$H$100,2,FALSE)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1038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516</v>
      </c>
      <c r="C9" s="21" t="s">
        <v>419</v>
      </c>
      <c r="D9" s="21" t="s">
        <v>1019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1021</v>
      </c>
      <c r="L9" s="21" t="str">
        <f>VLOOKUP(K9,スキル!$C$4:$D$99,2,FALSE)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517</v>
      </c>
      <c r="C10" s="21" t="s">
        <v>419</v>
      </c>
      <c r="D10" s="21" t="s">
        <v>1019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1020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518</v>
      </c>
      <c r="C11" s="21" t="s">
        <v>421</v>
      </c>
      <c r="D11" s="21" t="s">
        <v>1017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1030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519</v>
      </c>
      <c r="C12" s="21" t="s">
        <v>421</v>
      </c>
      <c r="D12" s="21" t="s">
        <v>1020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1060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520</v>
      </c>
      <c r="C13" s="21" t="s">
        <v>421</v>
      </c>
      <c r="D13" s="21" t="s">
        <v>1018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1017</v>
      </c>
      <c r="L13" s="21" t="str">
        <f>VLOOKUP(K13,スキル!$C$4:$D$99,2,FALSE)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521</v>
      </c>
      <c r="C14" s="21" t="s">
        <v>421</v>
      </c>
      <c r="D14" s="21" t="s">
        <v>1021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VLOOKUP(D14,スキル!$C$4:$O$96,8,FALSE)</f>
        <v>15</v>
      </c>
      <c r="I14" s="25" t="str">
        <f>VLOOKUP(D14,スキル!$C$4:$O$96,2,FALSE)</f>
        <v>回し蹴り</v>
      </c>
      <c r="K14" s="43" t="s">
        <v>1025</v>
      </c>
      <c r="L14" s="21" t="str">
        <f>VLOOKUP(K14,スキル!$C$4:$D$99,2,FALSE)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522</v>
      </c>
      <c r="C15" s="21" t="s">
        <v>421</v>
      </c>
      <c r="D15" s="21" t="s">
        <v>1019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1032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523</v>
      </c>
      <c r="C16" s="21" t="s">
        <v>421</v>
      </c>
      <c r="D16" s="21" t="s">
        <v>1022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1049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524</v>
      </c>
      <c r="C17" s="21" t="s">
        <v>423</v>
      </c>
      <c r="D17" s="21" t="s">
        <v>1017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1026</v>
      </c>
      <c r="L17" s="21" t="str">
        <f>VLOOKUP(K17,スキル!$C$4:$D$99,2,FALSE)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525</v>
      </c>
      <c r="C18" s="21" t="s">
        <v>423</v>
      </c>
      <c r="D18" s="21" t="s">
        <v>1017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VLOOKUP(D18,スキル!$C$4:$O$96,8,FALSE)</f>
        <v>10</v>
      </c>
      <c r="I18" s="25" t="str">
        <f>VLOOKUP(D18,スキル!$C$4:$O$96,2,FALSE)</f>
        <v>斬撃</v>
      </c>
      <c r="K18" s="43" t="s">
        <v>1048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526</v>
      </c>
      <c r="C19" s="21" t="s">
        <v>423</v>
      </c>
      <c r="D19" s="21" t="s">
        <v>1023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1050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527</v>
      </c>
      <c r="C20" s="21" t="s">
        <v>423</v>
      </c>
      <c r="D20" s="21" t="s">
        <v>1020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1052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528</v>
      </c>
      <c r="C21" s="21" t="s">
        <v>423</v>
      </c>
      <c r="D21" s="21" t="s">
        <v>1019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1043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529</v>
      </c>
      <c r="C22" s="21" t="s">
        <v>423</v>
      </c>
      <c r="D22" s="21" t="s">
        <v>1024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1045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530</v>
      </c>
      <c r="C23" s="21" t="s">
        <v>424</v>
      </c>
      <c r="D23" s="21" t="s">
        <v>1017</v>
      </c>
      <c r="E23" s="21" t="b">
        <v>0</v>
      </c>
      <c r="G23" s="21" t="str">
        <f>VLOOKUP(C23,モンスター!$B$6:$H$100,2,FALSE)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1055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531</v>
      </c>
      <c r="C24" s="21" t="s">
        <v>424</v>
      </c>
      <c r="D24" s="21" t="s">
        <v>1018</v>
      </c>
      <c r="E24" s="21" t="b">
        <v>0</v>
      </c>
      <c r="G24" s="21" t="str">
        <f>VLOOKUP(C24,モンスター!$B$6:$H$100,2,FALSE)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1028</v>
      </c>
      <c r="L24" s="21" t="str">
        <f>VLOOKUP(K24,スキル!$C$4:$D$99,2,FALSE)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532</v>
      </c>
      <c r="C25" s="21" t="s">
        <v>424</v>
      </c>
      <c r="D25" s="21" t="s">
        <v>1025</v>
      </c>
      <c r="E25" s="21" t="b">
        <v>0</v>
      </c>
      <c r="G25" s="21" t="str">
        <f>VLOOKUP(C25,モンスター!$B$6:$H$100,2,FALSE)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1031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533</v>
      </c>
      <c r="C26" s="21" t="s">
        <v>424</v>
      </c>
      <c r="D26" s="21" t="s">
        <v>1026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1056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534</v>
      </c>
      <c r="C27" s="21" t="s">
        <v>424</v>
      </c>
      <c r="D27" s="21" t="s">
        <v>1027</v>
      </c>
      <c r="E27" s="21" t="b">
        <v>0</v>
      </c>
      <c r="G27" s="21" t="str">
        <f>VLOOKUP(C27,モンスター!$B$6:$H$100,2,FALSE)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1044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535</v>
      </c>
      <c r="C28" s="21" t="s">
        <v>424</v>
      </c>
      <c r="D28" s="21" t="s">
        <v>1028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1046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536</v>
      </c>
      <c r="C29" s="21" t="s">
        <v>425</v>
      </c>
      <c r="D29" s="21" t="s">
        <v>1027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1047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537</v>
      </c>
      <c r="C30" s="21" t="s">
        <v>425</v>
      </c>
      <c r="D30" s="21" t="s">
        <v>1029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1019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538</v>
      </c>
      <c r="C31" s="21" t="s">
        <v>425</v>
      </c>
      <c r="D31" s="21" t="s">
        <v>1025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1022</v>
      </c>
      <c r="L31" s="21" t="str">
        <f>VLOOKUP(K31,スキル!$C$4:$D$99,2,FALSE)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539</v>
      </c>
      <c r="C32" s="21" t="s">
        <v>425</v>
      </c>
      <c r="D32" s="21" t="s">
        <v>1030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1024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540</v>
      </c>
      <c r="C33" s="21" t="s">
        <v>425</v>
      </c>
      <c r="D33" s="21" t="s">
        <v>1022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1063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541</v>
      </c>
      <c r="C34" s="21" t="s">
        <v>425</v>
      </c>
      <c r="D34" s="21" t="s">
        <v>1031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1064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542</v>
      </c>
      <c r="C35" s="21" t="s">
        <v>426</v>
      </c>
      <c r="D35" s="21" t="s">
        <v>1032</v>
      </c>
      <c r="E35" s="21" t="b">
        <v>0</v>
      </c>
      <c r="G35" s="21" t="str">
        <f>VLOOKUP(C35,モンスター!$B$6:$H$100,2,FALSE)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1067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543</v>
      </c>
      <c r="C36" s="21" t="s">
        <v>426</v>
      </c>
      <c r="D36" s="21" t="s">
        <v>1033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1033</v>
      </c>
      <c r="L36" s="21" t="str">
        <f>VLOOKUP(K36,スキル!$C$4:$D$99,2,FALSE)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544</v>
      </c>
      <c r="C37" s="21" t="s">
        <v>426</v>
      </c>
      <c r="D37" s="21" t="s">
        <v>1034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1034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545</v>
      </c>
      <c r="C38" s="21" t="s">
        <v>426</v>
      </c>
      <c r="D38" s="21" t="s">
        <v>1017</v>
      </c>
      <c r="E38" s="21" t="b">
        <v>0</v>
      </c>
      <c r="G38" s="21" t="str">
        <f>VLOOKUP(C38,モンスター!$B$6:$H$100,2,FALSE)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1036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546</v>
      </c>
      <c r="C39" s="21" t="s">
        <v>426</v>
      </c>
      <c r="D39" s="21" t="s">
        <v>1017</v>
      </c>
      <c r="E39" s="21" t="b">
        <v>0</v>
      </c>
      <c r="G39" s="21" t="str">
        <f>VLOOKUP(C39,モンスター!$B$6:$H$100,2,FALSE)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1053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547</v>
      </c>
      <c r="C40" s="21" t="s">
        <v>426</v>
      </c>
      <c r="D40" s="21" t="s">
        <v>1035</v>
      </c>
      <c r="E40" s="21" t="b">
        <v>0</v>
      </c>
      <c r="G40" s="21" t="str">
        <f>VLOOKUP(C40,モンスター!$B$6:$H$100,2,FALSE)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1037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548</v>
      </c>
      <c r="C41" s="21" t="s">
        <v>427</v>
      </c>
      <c r="D41" s="21" t="s">
        <v>1034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1068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549</v>
      </c>
      <c r="C42" s="21" t="s">
        <v>427</v>
      </c>
      <c r="D42" s="21" t="s">
        <v>1036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1057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550</v>
      </c>
      <c r="C43" s="21" t="s">
        <v>427</v>
      </c>
      <c r="D43" s="21" t="s">
        <v>1037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1062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551</v>
      </c>
      <c r="C44" s="21" t="s">
        <v>427</v>
      </c>
      <c r="D44" s="21" t="s">
        <v>1038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1051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552</v>
      </c>
      <c r="C45" s="21" t="s">
        <v>427</v>
      </c>
      <c r="D45" s="21" t="s">
        <v>1032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1061</v>
      </c>
      <c r="L45" s="21" t="str">
        <f>VLOOKUP(K45,スキル!$C$4:$D$99,2,FALSE)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553</v>
      </c>
      <c r="C46" s="21" t="s">
        <v>427</v>
      </c>
      <c r="D46" s="21" t="s">
        <v>1035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1066</v>
      </c>
      <c r="L46" s="21" t="str">
        <f>VLOOKUP(K46,スキル!$C$4:$D$99,2,FALSE)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554</v>
      </c>
      <c r="C47" s="21" t="s">
        <v>428</v>
      </c>
      <c r="D47" s="21" t="s">
        <v>1017</v>
      </c>
      <c r="E47" s="21" t="b">
        <v>0</v>
      </c>
      <c r="G47" s="21" t="str">
        <f>VLOOKUP(C47,モンスター!$B$6:$H$100,2,FALSE)</f>
        <v>ゴブリン</v>
      </c>
      <c r="H47" s="24">
        <f>VLOOKUP(D47,スキル!$C$4:$O$96,8,FALSE)</f>
        <v>10</v>
      </c>
      <c r="I47" s="25" t="str">
        <f>VLOOKUP(D47,スキル!$C$4:$O$96,2,FALSE)</f>
        <v>斬撃</v>
      </c>
      <c r="K47" s="43" t="s">
        <v>1029</v>
      </c>
      <c r="L47" s="21" t="str">
        <f>VLOOKUP(K47,スキル!$C$4:$D$99,2,FALSE)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555</v>
      </c>
      <c r="C48" s="21" t="s">
        <v>428</v>
      </c>
      <c r="D48" s="21" t="s">
        <v>1017</v>
      </c>
      <c r="E48" s="21" t="b">
        <v>0</v>
      </c>
      <c r="G48" s="21" t="str">
        <f>VLOOKUP(C48,モンスター!$B$6:$H$100,2,FALSE)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1054</v>
      </c>
      <c r="L48" s="21" t="str">
        <f>VLOOKUP(K48,スキル!$C$4:$D$99,2,FALSE)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556</v>
      </c>
      <c r="C49" s="21" t="s">
        <v>428</v>
      </c>
      <c r="D49" s="21" t="s">
        <v>1017</v>
      </c>
      <c r="E49" s="21" t="b">
        <v>0</v>
      </c>
      <c r="G49" s="21" t="str">
        <f>VLOOKUP(C49,モンスター!$B$6:$H$100,2,FALSE)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1058</v>
      </c>
      <c r="L49" s="21" t="str">
        <f>VLOOKUP(K49,スキル!$C$4:$D$99,2,FALSE)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557</v>
      </c>
      <c r="C50" s="21" t="s">
        <v>428</v>
      </c>
      <c r="D50" s="21" t="s">
        <v>1018</v>
      </c>
      <c r="E50" s="21" t="b">
        <v>0</v>
      </c>
      <c r="G50" s="21" t="str">
        <f>VLOOKUP(C50,モンスター!$B$6:$H$100,2,FALSE)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1059</v>
      </c>
      <c r="L50" s="21" t="str">
        <f>VLOOKUP(K50,スキル!$C$4:$D$99,2,FALSE)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558</v>
      </c>
      <c r="C51" s="21" t="s">
        <v>428</v>
      </c>
      <c r="D51" s="21" t="s">
        <v>1032</v>
      </c>
      <c r="E51" s="21" t="b">
        <v>0</v>
      </c>
      <c r="G51" s="21" t="str">
        <f>VLOOKUP(C51,モンスター!$B$6:$H$100,2,FALSE)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1039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559</v>
      </c>
      <c r="C52" s="21" t="s">
        <v>428</v>
      </c>
      <c r="D52" s="21" t="s">
        <v>1032</v>
      </c>
      <c r="E52" s="21" t="b">
        <v>0</v>
      </c>
      <c r="G52" s="21" t="str">
        <f>VLOOKUP(C52,モンスター!$B$6:$H$100,2,FALSE)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1040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560</v>
      </c>
      <c r="C53" s="21" t="s">
        <v>429</v>
      </c>
      <c r="D53" s="21" t="s">
        <v>1017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1027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561</v>
      </c>
      <c r="C54" s="21" t="s">
        <v>429</v>
      </c>
      <c r="D54" s="21" t="s">
        <v>1018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1081</v>
      </c>
      <c r="L54" s="21" t="str">
        <f>VLOOKUP(K54,スキル!$C$4:$D$99,2,FALSE)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562</v>
      </c>
      <c r="C55" s="21" t="s">
        <v>429</v>
      </c>
      <c r="D55" s="21" t="s">
        <v>1025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1082</v>
      </c>
      <c r="L55" s="21" t="str">
        <f>VLOOKUP(K55,スキル!$C$4:$D$99,2,FALSE)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563</v>
      </c>
      <c r="C56" s="21" t="s">
        <v>429</v>
      </c>
      <c r="D56" s="21" t="s">
        <v>1026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1083</v>
      </c>
      <c r="L56" s="21" t="str">
        <f>VLOOKUP(K56,スキル!$C$4:$D$99,2,FALSE)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564</v>
      </c>
      <c r="C57" s="21" t="s">
        <v>429</v>
      </c>
      <c r="D57" s="21" t="s">
        <v>1026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VLOOKUP(D57,スキル!$C$4:$O$96,8,FALSE)</f>
        <v>15</v>
      </c>
      <c r="I57" s="25" t="str">
        <f>VLOOKUP(D57,スキル!$C$4:$O$96,2,FALSE)</f>
        <v>薙ぎ払い</v>
      </c>
      <c r="K57" s="43" t="s">
        <v>1084</v>
      </c>
      <c r="L57" s="21" t="str">
        <f>VLOOKUP(K57,スキル!$C$4:$D$99,2,FALSE)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565</v>
      </c>
      <c r="C58" s="21" t="s">
        <v>429</v>
      </c>
      <c r="D58" s="21" t="s">
        <v>1039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1085</v>
      </c>
      <c r="L58" s="21" t="str">
        <f>VLOOKUP(K58,スキル!$C$4:$D$99,2,FALSE)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566</v>
      </c>
      <c r="C59" s="21" t="s">
        <v>430</v>
      </c>
      <c r="D59" s="21" t="s">
        <v>1017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1018</v>
      </c>
      <c r="L59" s="21" t="str">
        <f>VLOOKUP(K59,スキル!$C$4:$D$99,2,FALSE)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567</v>
      </c>
      <c r="C60" s="21" t="s">
        <v>430</v>
      </c>
      <c r="D60" s="21" t="s">
        <v>1026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1023</v>
      </c>
      <c r="L60" s="21" t="str">
        <f>VLOOKUP(K60,スキル!$C$4:$D$99,2,FALSE)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568</v>
      </c>
      <c r="C61" s="21" t="s">
        <v>430</v>
      </c>
      <c r="D61" s="21" t="s">
        <v>1023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1035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569</v>
      </c>
      <c r="C62" s="21" t="s">
        <v>430</v>
      </c>
      <c r="D62" s="21" t="s">
        <v>1025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1069</v>
      </c>
      <c r="L62" s="21" t="str">
        <f>VLOOKUP(K62,スキル!$C$4:$D$99,2,FALSE)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570</v>
      </c>
      <c r="C63" s="21" t="s">
        <v>430</v>
      </c>
      <c r="D63" s="21" t="s">
        <v>1025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VLOOKUP(D63,スキル!$C$4:$O$96,8,FALSE)</f>
        <v>20</v>
      </c>
      <c r="I63" s="25" t="str">
        <f>VLOOKUP(D63,スキル!$C$4:$O$96,2,FALSE)</f>
        <v>剣の舞</v>
      </c>
      <c r="K63" s="43" t="s">
        <v>1070</v>
      </c>
      <c r="L63" s="21" t="str">
        <f>VLOOKUP(K63,スキル!$C$4:$D$99,2,FALSE)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571</v>
      </c>
      <c r="C64" s="21" t="s">
        <v>430</v>
      </c>
      <c r="D64" s="21" t="s">
        <v>1040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1072</v>
      </c>
      <c r="L64" s="21" t="str">
        <f>VLOOKUP(K64,スキル!$C$4:$D$99,2,FALSE)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572</v>
      </c>
      <c r="C65" s="21" t="s">
        <v>431</v>
      </c>
      <c r="D65" s="21" t="s">
        <v>1041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1076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573</v>
      </c>
      <c r="C66" s="21" t="s">
        <v>431</v>
      </c>
      <c r="D66" s="21" t="s">
        <v>1041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1074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574</v>
      </c>
      <c r="C67" s="21" t="s">
        <v>431</v>
      </c>
      <c r="D67" s="21" t="s">
        <v>1042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1075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575</v>
      </c>
      <c r="C68" s="21" t="s">
        <v>431</v>
      </c>
      <c r="D68" s="21" t="s">
        <v>1043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1077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576</v>
      </c>
      <c r="C69" s="21" t="s">
        <v>431</v>
      </c>
      <c r="D69" s="21" t="s">
        <v>1044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1078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577</v>
      </c>
      <c r="C70" s="21" t="s">
        <v>431</v>
      </c>
      <c r="D70" s="21" t="s">
        <v>1018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1071</v>
      </c>
      <c r="L70" s="21" t="str">
        <f>VLOOKUP(K70,スキル!$C$4:$D$99,2,FALSE)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578</v>
      </c>
      <c r="C71" s="21" t="s">
        <v>432</v>
      </c>
      <c r="D71" s="21" t="s">
        <v>1041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1080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579</v>
      </c>
      <c r="C72" s="21" t="s">
        <v>432</v>
      </c>
      <c r="D72" s="21" t="s">
        <v>1042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1079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580</v>
      </c>
      <c r="C73" s="21" t="s">
        <v>432</v>
      </c>
      <c r="D73" s="21" t="s">
        <v>1045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1073</v>
      </c>
      <c r="L73" s="21" t="str">
        <f>VLOOKUP(K73,スキル!$C$4:$D$99,2,FALSE)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581</v>
      </c>
      <c r="C74" s="21" t="s">
        <v>432</v>
      </c>
      <c r="D74" s="21" t="s">
        <v>1046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1086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582</v>
      </c>
      <c r="C75" s="21" t="s">
        <v>432</v>
      </c>
      <c r="D75" s="21" t="s">
        <v>1021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1087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583</v>
      </c>
      <c r="C76" s="21" t="s">
        <v>432</v>
      </c>
      <c r="D76" s="21" t="s">
        <v>1018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1088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584</v>
      </c>
      <c r="C77" s="21" t="s">
        <v>433</v>
      </c>
      <c r="D77" s="21" t="s">
        <v>1042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1089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585</v>
      </c>
      <c r="C78" s="21" t="s">
        <v>433</v>
      </c>
      <c r="D78" s="21" t="s">
        <v>1038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1090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586</v>
      </c>
      <c r="C79" s="21" t="s">
        <v>433</v>
      </c>
      <c r="D79" s="21" t="s">
        <v>1045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1091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587</v>
      </c>
      <c r="C80" s="21" t="s">
        <v>433</v>
      </c>
      <c r="D80" s="21" t="s">
        <v>1047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1092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588</v>
      </c>
      <c r="C81" s="21" t="s">
        <v>433</v>
      </c>
      <c r="D81" s="21" t="s">
        <v>1023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1093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589</v>
      </c>
      <c r="C82" s="21" t="s">
        <v>433</v>
      </c>
      <c r="D82" s="21" t="s">
        <v>1020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1094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590</v>
      </c>
      <c r="C83" s="21" t="s">
        <v>434</v>
      </c>
      <c r="D83" s="21" t="s">
        <v>1025</v>
      </c>
      <c r="E83" s="21" t="b">
        <v>0</v>
      </c>
      <c r="G83" s="21" t="str">
        <f>VLOOKUP(C83,モンスター!$B$6:$H$100,2,FALSE)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1095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591</v>
      </c>
      <c r="C84" s="21" t="s">
        <v>434</v>
      </c>
      <c r="D84" s="21" t="s">
        <v>1026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1096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592</v>
      </c>
      <c r="C85" s="21" t="s">
        <v>434</v>
      </c>
      <c r="D85" s="21" t="s">
        <v>1023</v>
      </c>
      <c r="E85" s="21" t="b">
        <v>0</v>
      </c>
      <c r="G85" s="21" t="str">
        <f>VLOOKUP(C85,モンスター!$B$6:$H$100,2,FALSE)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1097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593</v>
      </c>
      <c r="C86" s="21" t="s">
        <v>434</v>
      </c>
      <c r="D86" s="21" t="s">
        <v>1027</v>
      </c>
      <c r="E86" s="21" t="b">
        <v>0</v>
      </c>
      <c r="G86" s="21" t="str">
        <f>VLOOKUP(C86,モンスター!$B$6:$H$100,2,FALSE)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1098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594</v>
      </c>
      <c r="C87" s="21" t="s">
        <v>434</v>
      </c>
      <c r="D87" s="21" t="s">
        <v>1044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595</v>
      </c>
      <c r="C88" s="21" t="s">
        <v>434</v>
      </c>
      <c r="D88" s="21" t="s">
        <v>1019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596</v>
      </c>
      <c r="C89" s="21" t="s">
        <v>435</v>
      </c>
      <c r="D89" s="21" t="s">
        <v>1028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597</v>
      </c>
      <c r="C90" s="21" t="s">
        <v>435</v>
      </c>
      <c r="D90" s="21" t="s">
        <v>1025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598</v>
      </c>
      <c r="C91" s="21" t="s">
        <v>435</v>
      </c>
      <c r="D91" s="21" t="s">
        <v>1026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599</v>
      </c>
      <c r="C92" s="21" t="s">
        <v>435</v>
      </c>
      <c r="D92" s="21" t="s">
        <v>1027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600</v>
      </c>
      <c r="C93" s="21" t="s">
        <v>435</v>
      </c>
      <c r="D93" s="21" t="s">
        <v>1031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601</v>
      </c>
      <c r="C94" s="21" t="s">
        <v>435</v>
      </c>
      <c r="D94" s="21" t="s">
        <v>1018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602</v>
      </c>
      <c r="C95" s="21" t="s">
        <v>436</v>
      </c>
      <c r="D95" s="21" t="s">
        <v>1017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603</v>
      </c>
      <c r="C96" s="21" t="s">
        <v>436</v>
      </c>
      <c r="D96" s="21" t="s">
        <v>1017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VLOOKUP(D96,スキル!$C$4:$O$96,8,FALSE)</f>
        <v>10</v>
      </c>
      <c r="I96" s="25" t="str">
        <f>VLOOKUP(D96,スキル!$C$4:$O$96,2,FALSE)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604</v>
      </c>
      <c r="C97" s="21" t="s">
        <v>436</v>
      </c>
      <c r="D97" s="21" t="s">
        <v>1026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605</v>
      </c>
      <c r="C98" s="21" t="s">
        <v>436</v>
      </c>
      <c r="D98" s="21" t="s">
        <v>1026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606</v>
      </c>
      <c r="C99" s="21" t="s">
        <v>436</v>
      </c>
      <c r="D99" s="21" t="s">
        <v>1032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607</v>
      </c>
      <c r="C100" s="21" t="s">
        <v>436</v>
      </c>
      <c r="D100" s="21" t="s">
        <v>1018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608</v>
      </c>
      <c r="C101" s="21" t="s">
        <v>437</v>
      </c>
      <c r="D101" s="21" t="s">
        <v>1023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609</v>
      </c>
      <c r="C102" s="21" t="s">
        <v>437</v>
      </c>
      <c r="D102" s="21" t="s">
        <v>1032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610</v>
      </c>
      <c r="C103" s="21" t="s">
        <v>437</v>
      </c>
      <c r="D103" s="21" t="s">
        <v>1017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611</v>
      </c>
      <c r="C104" s="21" t="s">
        <v>437</v>
      </c>
      <c r="D104" s="21" t="s">
        <v>1025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612</v>
      </c>
      <c r="C105" s="21" t="s">
        <v>437</v>
      </c>
      <c r="D105" s="21" t="s">
        <v>1026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613</v>
      </c>
      <c r="C106" s="21" t="s">
        <v>437</v>
      </c>
      <c r="D106" s="21" t="s">
        <v>1048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614</v>
      </c>
      <c r="C107" s="21" t="s">
        <v>438</v>
      </c>
      <c r="D107" s="21" t="s">
        <v>1035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615</v>
      </c>
      <c r="C108" s="21" t="s">
        <v>438</v>
      </c>
      <c r="D108" s="21" t="s">
        <v>1023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616</v>
      </c>
      <c r="C109" s="21" t="s">
        <v>438</v>
      </c>
      <c r="D109" s="21" t="s">
        <v>1049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617</v>
      </c>
      <c r="C110" s="21" t="s">
        <v>438</v>
      </c>
      <c r="D110" s="21" t="s">
        <v>1050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618</v>
      </c>
      <c r="C111" s="21" t="s">
        <v>438</v>
      </c>
      <c r="D111" s="21" t="s">
        <v>1051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619</v>
      </c>
      <c r="C112" s="21" t="s">
        <v>438</v>
      </c>
      <c r="D112" s="21" t="s">
        <v>1052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620</v>
      </c>
      <c r="C113" s="21" t="s">
        <v>439</v>
      </c>
      <c r="D113" s="21" t="s">
        <v>1043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621</v>
      </c>
      <c r="C114" s="21" t="s">
        <v>439</v>
      </c>
      <c r="D114" s="21" t="s">
        <v>1028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622</v>
      </c>
      <c r="C115" s="21" t="s">
        <v>439</v>
      </c>
      <c r="D115" s="21" t="s">
        <v>1044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623</v>
      </c>
      <c r="C116" s="21" t="s">
        <v>439</v>
      </c>
      <c r="D116" s="21" t="s">
        <v>1019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624</v>
      </c>
      <c r="C117" s="21" t="s">
        <v>439</v>
      </c>
      <c r="D117" s="21" t="s">
        <v>1018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625</v>
      </c>
      <c r="C118" s="21" t="s">
        <v>439</v>
      </c>
      <c r="D118" s="21" t="s">
        <v>1053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626</v>
      </c>
      <c r="C119" s="21" t="s">
        <v>440</v>
      </c>
      <c r="D119" s="21" t="s">
        <v>1045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627</v>
      </c>
      <c r="C120" s="21" t="s">
        <v>440</v>
      </c>
      <c r="D120" s="21" t="s">
        <v>1031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628</v>
      </c>
      <c r="C121" s="21" t="s">
        <v>440</v>
      </c>
      <c r="D121" s="21" t="s">
        <v>1046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629</v>
      </c>
      <c r="C122" s="21" t="s">
        <v>440</v>
      </c>
      <c r="D122" s="21" t="s">
        <v>1022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630</v>
      </c>
      <c r="C123" s="21" t="s">
        <v>440</v>
      </c>
      <c r="D123" s="21" t="s">
        <v>1054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631</v>
      </c>
      <c r="C124" s="21" t="s">
        <v>440</v>
      </c>
      <c r="D124" s="21" t="s">
        <v>1023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VLOOKUP(D124,スキル!$C$4:$O$96,8,FALSE)</f>
        <v>0</v>
      </c>
      <c r="I124" s="25" t="str">
        <f>VLOOKUP(D124,スキル!$C$4:$O$96,2,FALSE)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632</v>
      </c>
      <c r="C125" s="21" t="s">
        <v>441</v>
      </c>
      <c r="D125" s="21" t="s">
        <v>1055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633</v>
      </c>
      <c r="C126" s="21" t="s">
        <v>441</v>
      </c>
      <c r="D126" s="21" t="s">
        <v>1056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634</v>
      </c>
      <c r="C127" s="21" t="s">
        <v>441</v>
      </c>
      <c r="D127" s="21" t="s">
        <v>1047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635</v>
      </c>
      <c r="C128" s="21" t="s">
        <v>441</v>
      </c>
      <c r="D128" s="21" t="s">
        <v>1022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636</v>
      </c>
      <c r="C129" s="21" t="s">
        <v>441</v>
      </c>
      <c r="D129" s="21" t="s">
        <v>1023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637</v>
      </c>
      <c r="C130" s="21" t="s">
        <v>441</v>
      </c>
      <c r="D130" s="21" t="s">
        <v>1057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638</v>
      </c>
      <c r="C131" s="21" t="s">
        <v>442</v>
      </c>
      <c r="D131" s="21" t="s">
        <v>1041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639</v>
      </c>
      <c r="C132" s="21" t="s">
        <v>442</v>
      </c>
      <c r="D132" s="21" t="s">
        <v>1041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640</v>
      </c>
      <c r="C133" s="21" t="s">
        <v>442</v>
      </c>
      <c r="D133" s="21" t="s">
        <v>1054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641</v>
      </c>
      <c r="C134" s="21" t="s">
        <v>442</v>
      </c>
      <c r="D134" s="21" t="s">
        <v>1039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642</v>
      </c>
      <c r="C135" s="21" t="s">
        <v>442</v>
      </c>
      <c r="D135" s="21" t="s">
        <v>1018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643</v>
      </c>
      <c r="C136" s="21" t="s">
        <v>442</v>
      </c>
      <c r="D136" s="21" t="s">
        <v>1025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644</v>
      </c>
      <c r="C137" s="21" t="s">
        <v>443</v>
      </c>
      <c r="D137" s="21" t="s">
        <v>1042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645</v>
      </c>
      <c r="C138" s="21" t="s">
        <v>443</v>
      </c>
      <c r="D138" s="21" t="s">
        <v>1041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646</v>
      </c>
      <c r="C139" s="21" t="s">
        <v>443</v>
      </c>
      <c r="D139" s="21" t="s">
        <v>1058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647</v>
      </c>
      <c r="C140" s="21" t="s">
        <v>443</v>
      </c>
      <c r="D140" s="21" t="s">
        <v>1059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648</v>
      </c>
      <c r="C141" s="21" t="s">
        <v>443</v>
      </c>
      <c r="D141" s="21" t="s">
        <v>1018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649</v>
      </c>
      <c r="C142" s="21" t="s">
        <v>443</v>
      </c>
      <c r="D142" s="21" t="s">
        <v>1042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650</v>
      </c>
      <c r="C143" s="21" t="s">
        <v>444</v>
      </c>
      <c r="D143" s="21" t="s">
        <v>1017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651</v>
      </c>
      <c r="C144" s="21" t="s">
        <v>444</v>
      </c>
      <c r="D144" s="21" t="s">
        <v>1017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652</v>
      </c>
      <c r="C145" s="21" t="s">
        <v>444</v>
      </c>
      <c r="D145" s="21" t="s">
        <v>1017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653</v>
      </c>
      <c r="C146" s="21" t="s">
        <v>444</v>
      </c>
      <c r="D146" s="21" t="s">
        <v>1019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654</v>
      </c>
      <c r="C147" s="21" t="s">
        <v>444</v>
      </c>
      <c r="D147" s="21" t="s">
        <v>1053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655</v>
      </c>
      <c r="C148" s="21" t="s">
        <v>444</v>
      </c>
      <c r="D148" s="21" t="s">
        <v>1018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656</v>
      </c>
      <c r="C149" s="21" t="s">
        <v>445</v>
      </c>
      <c r="D149" s="21" t="s">
        <v>1017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657</v>
      </c>
      <c r="C150" s="21" t="s">
        <v>445</v>
      </c>
      <c r="D150" s="21" t="s">
        <v>1025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658</v>
      </c>
      <c r="C151" s="21" t="s">
        <v>445</v>
      </c>
      <c r="D151" s="21" t="s">
        <v>1017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659</v>
      </c>
      <c r="C152" s="21" t="s">
        <v>445</v>
      </c>
      <c r="D152" s="21" t="s">
        <v>1019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660</v>
      </c>
      <c r="C153" s="21" t="s">
        <v>445</v>
      </c>
      <c r="D153" s="21" t="s">
        <v>1037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661</v>
      </c>
      <c r="C154" s="21" t="s">
        <v>445</v>
      </c>
      <c r="D154" s="21" t="s">
        <v>1018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662</v>
      </c>
      <c r="C155" s="21" t="s">
        <v>446</v>
      </c>
      <c r="D155" s="21" t="s">
        <v>1041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663</v>
      </c>
      <c r="C156" s="21" t="s">
        <v>446</v>
      </c>
      <c r="D156" s="21" t="s">
        <v>1017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664</v>
      </c>
      <c r="C157" s="21" t="s">
        <v>446</v>
      </c>
      <c r="D157" s="21" t="s">
        <v>1043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665</v>
      </c>
      <c r="C158" s="21" t="s">
        <v>446</v>
      </c>
      <c r="D158" s="21" t="s">
        <v>1054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666</v>
      </c>
      <c r="C159" s="21" t="s">
        <v>446</v>
      </c>
      <c r="D159" s="21" t="s">
        <v>1018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667</v>
      </c>
      <c r="C160" s="21" t="s">
        <v>446</v>
      </c>
      <c r="D160" s="21" t="s">
        <v>1054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668</v>
      </c>
      <c r="C161" s="21" t="s">
        <v>447</v>
      </c>
      <c r="D161" s="21" t="s">
        <v>1041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VLOOKUP(D161,スキル!$C$4:$O$96,8,FALSE)</f>
        <v>10</v>
      </c>
      <c r="I161" s="25" t="str">
        <f>VLOOKUP(D161,スキル!$C$4:$O$96,2,FALSE)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669</v>
      </c>
      <c r="C162" s="21" t="s">
        <v>447</v>
      </c>
      <c r="D162" s="21" t="s">
        <v>1042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670</v>
      </c>
      <c r="C163" s="21" t="s">
        <v>447</v>
      </c>
      <c r="D163" s="21" t="s">
        <v>1034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671</v>
      </c>
      <c r="C164" s="21" t="s">
        <v>447</v>
      </c>
      <c r="D164" s="21" t="s">
        <v>1039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672</v>
      </c>
      <c r="C165" s="21" t="s">
        <v>447</v>
      </c>
      <c r="D165" s="21" t="s">
        <v>1018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673</v>
      </c>
      <c r="C166" s="21" t="s">
        <v>447</v>
      </c>
      <c r="D166" s="21" t="s">
        <v>1033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674</v>
      </c>
      <c r="C167" s="21" t="s">
        <v>448</v>
      </c>
      <c r="D167" s="21" t="s">
        <v>1031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675</v>
      </c>
      <c r="C168" s="21" t="s">
        <v>448</v>
      </c>
      <c r="D168" s="21" t="s">
        <v>1042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VLOOKUP(D168,スキル!$C$4:$O$96,8,FALSE)</f>
        <v>20</v>
      </c>
      <c r="I168" s="25" t="str">
        <f>VLOOKUP(D168,スキル!$C$4:$O$96,2,FALSE)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676</v>
      </c>
      <c r="C169" s="21" t="s">
        <v>448</v>
      </c>
      <c r="D169" s="21" t="s">
        <v>1056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677</v>
      </c>
      <c r="C170" s="21" t="s">
        <v>448</v>
      </c>
      <c r="D170" s="21" t="s">
        <v>1042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678</v>
      </c>
      <c r="C171" s="21" t="s">
        <v>448</v>
      </c>
      <c r="D171" s="21" t="s">
        <v>1018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679</v>
      </c>
      <c r="C172" s="21" t="s">
        <v>448</v>
      </c>
      <c r="D172" s="21" t="s">
        <v>1017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680</v>
      </c>
      <c r="C173" s="21" t="s">
        <v>449</v>
      </c>
      <c r="D173" s="21" t="s">
        <v>1032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681</v>
      </c>
      <c r="C174" s="21" t="s">
        <v>449</v>
      </c>
      <c r="D174" s="21" t="s">
        <v>1060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682</v>
      </c>
      <c r="C175" s="21" t="s">
        <v>449</v>
      </c>
      <c r="D175" s="21" t="s">
        <v>1018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683</v>
      </c>
      <c r="C176" s="21" t="s">
        <v>449</v>
      </c>
      <c r="D176" s="21" t="s">
        <v>1058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684</v>
      </c>
      <c r="C177" s="21" t="s">
        <v>449</v>
      </c>
      <c r="D177" s="21" t="s">
        <v>1047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685</v>
      </c>
      <c r="C178" s="21" t="s">
        <v>449</v>
      </c>
      <c r="D178" s="21" t="s">
        <v>1061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686</v>
      </c>
      <c r="C179" s="21" t="s">
        <v>450</v>
      </c>
      <c r="D179" s="21" t="s">
        <v>1041</v>
      </c>
      <c r="E179" s="21" t="b">
        <v>0</v>
      </c>
      <c r="G179" s="21" t="str">
        <f>VLOOKUP(C179,モンスター!$B$6:$H$100,2,FALSE)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687</v>
      </c>
      <c r="C180" s="21" t="s">
        <v>450</v>
      </c>
      <c r="D180" s="21" t="s">
        <v>1041</v>
      </c>
      <c r="E180" s="21" t="b">
        <v>0</v>
      </c>
      <c r="G180" s="21" t="str">
        <f>VLOOKUP(C180,モンスター!$B$6:$H$100,2,FALSE)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688</v>
      </c>
      <c r="C181" s="21" t="s">
        <v>450</v>
      </c>
      <c r="D181" s="21" t="s">
        <v>1062</v>
      </c>
      <c r="E181" s="21" t="b">
        <v>0</v>
      </c>
      <c r="G181" s="21" t="str">
        <f>VLOOKUP(C181,モンスター!$B$6:$H$100,2,FALSE)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689</v>
      </c>
      <c r="C182" s="21" t="s">
        <v>450</v>
      </c>
      <c r="D182" s="21" t="s">
        <v>1063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690</v>
      </c>
      <c r="C183" s="21" t="s">
        <v>450</v>
      </c>
      <c r="D183" s="21" t="s">
        <v>1063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691</v>
      </c>
      <c r="C184" s="21" t="s">
        <v>450</v>
      </c>
      <c r="D184" s="21" t="s">
        <v>1018</v>
      </c>
      <c r="E184" s="21" t="b">
        <v>0</v>
      </c>
      <c r="G184" s="21" t="str">
        <f>VLOOKUP(C184,モンスター!$B$6:$H$100,2,FALSE)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692</v>
      </c>
      <c r="C185" s="21" t="s">
        <v>451</v>
      </c>
      <c r="D185" s="21" t="s">
        <v>1041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693</v>
      </c>
      <c r="C186" s="21" t="s">
        <v>451</v>
      </c>
      <c r="D186" s="21" t="s">
        <v>1042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694</v>
      </c>
      <c r="C187" s="21" t="s">
        <v>451</v>
      </c>
      <c r="D187" s="21" t="s">
        <v>1029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695</v>
      </c>
      <c r="C188" s="21" t="s">
        <v>451</v>
      </c>
      <c r="D188" s="21" t="s">
        <v>1063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696</v>
      </c>
      <c r="C189" s="21" t="s">
        <v>451</v>
      </c>
      <c r="D189" s="21" t="s">
        <v>1064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697</v>
      </c>
      <c r="C190" s="21" t="s">
        <v>451</v>
      </c>
      <c r="D190" s="21" t="s">
        <v>1018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698</v>
      </c>
      <c r="C191" s="21" t="s">
        <v>452</v>
      </c>
      <c r="D191" s="21" t="s">
        <v>1065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699</v>
      </c>
      <c r="C192" s="21" t="s">
        <v>452</v>
      </c>
      <c r="D192" s="21" t="s">
        <v>1042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700</v>
      </c>
      <c r="C193" s="21" t="s">
        <v>452</v>
      </c>
      <c r="D193" s="21" t="s">
        <v>1066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701</v>
      </c>
      <c r="C194" s="21" t="s">
        <v>452</v>
      </c>
      <c r="D194" s="21" t="s">
        <v>1063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702</v>
      </c>
      <c r="C195" s="21" t="s">
        <v>452</v>
      </c>
      <c r="D195" s="21" t="s">
        <v>1067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703</v>
      </c>
      <c r="C196" s="21" t="s">
        <v>452</v>
      </c>
      <c r="D196" s="21" t="s">
        <v>1023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704</v>
      </c>
      <c r="C197" s="21" t="s">
        <v>453</v>
      </c>
      <c r="D197" s="21" t="s">
        <v>1041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705</v>
      </c>
      <c r="C198" s="21" t="s">
        <v>453</v>
      </c>
      <c r="D198" s="21" t="s">
        <v>1053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706</v>
      </c>
      <c r="C199" s="21" t="s">
        <v>453</v>
      </c>
      <c r="D199" s="21" t="s">
        <v>1033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VLOOKUP(D199,スキル!$C$4:$O$96,8,FALSE)</f>
        <v>10</v>
      </c>
      <c r="I199" s="25" t="str">
        <f>VLOOKUP(D199,スキル!$C$4:$O$96,2,FALSE)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707</v>
      </c>
      <c r="C200" s="21" t="s">
        <v>453</v>
      </c>
      <c r="D200" s="21" t="s">
        <v>1033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708</v>
      </c>
      <c r="C201" s="21" t="s">
        <v>453</v>
      </c>
      <c r="D201" s="21" t="s">
        <v>1062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709</v>
      </c>
      <c r="C202" s="21" t="s">
        <v>453</v>
      </c>
      <c r="D202" s="21" t="s">
        <v>1018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710</v>
      </c>
      <c r="C203" s="21" t="s">
        <v>454</v>
      </c>
      <c r="D203" s="21" t="s">
        <v>1042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711</v>
      </c>
      <c r="C204" s="21" t="s">
        <v>454</v>
      </c>
      <c r="D204" s="21" t="s">
        <v>1037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712</v>
      </c>
      <c r="C205" s="21" t="s">
        <v>454</v>
      </c>
      <c r="D205" s="21" t="s">
        <v>1033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713</v>
      </c>
      <c r="C206" s="21" t="s">
        <v>454</v>
      </c>
      <c r="D206" s="21" t="s">
        <v>1034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714</v>
      </c>
      <c r="C207" s="21" t="s">
        <v>454</v>
      </c>
      <c r="D207" s="21" t="s">
        <v>1051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715</v>
      </c>
      <c r="C208" s="21" t="s">
        <v>454</v>
      </c>
      <c r="D208" s="21" t="s">
        <v>1018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716</v>
      </c>
      <c r="C209" s="21" t="s">
        <v>455</v>
      </c>
      <c r="D209" s="21" t="s">
        <v>1042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717</v>
      </c>
      <c r="C210" s="21" t="s">
        <v>455</v>
      </c>
      <c r="D210" s="21" t="s">
        <v>1057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718</v>
      </c>
      <c r="C211" s="21" t="s">
        <v>455</v>
      </c>
      <c r="D211" s="21" t="s">
        <v>1036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719</v>
      </c>
      <c r="C212" s="21" t="s">
        <v>455</v>
      </c>
      <c r="D212" s="21" t="s">
        <v>1064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720</v>
      </c>
      <c r="C213" s="21" t="s">
        <v>455</v>
      </c>
      <c r="D213" s="21" t="s">
        <v>1068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721</v>
      </c>
      <c r="C214" s="21" t="s">
        <v>455</v>
      </c>
      <c r="D214" s="21" t="s">
        <v>1018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722</v>
      </c>
      <c r="C215" s="21" t="s">
        <v>456</v>
      </c>
      <c r="D215" s="21" t="s">
        <v>1041</v>
      </c>
      <c r="E215" s="21" t="b">
        <v>0</v>
      </c>
      <c r="G215" s="21" t="str">
        <f>VLOOKUP(C215,モンスター!$B$6:$H$100,2,FALSE)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723</v>
      </c>
      <c r="C216" s="21" t="s">
        <v>456</v>
      </c>
      <c r="D216" s="21" t="s">
        <v>1041</v>
      </c>
      <c r="E216" s="21" t="b">
        <v>0</v>
      </c>
      <c r="G216" s="21" t="str">
        <f>VLOOKUP(C216,モンスター!$B$6:$H$100,2,FALSE)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724</v>
      </c>
      <c r="C217" s="21" t="s">
        <v>456</v>
      </c>
      <c r="D217" s="21" t="s">
        <v>1041</v>
      </c>
      <c r="E217" s="21" t="b">
        <v>0</v>
      </c>
      <c r="G217" s="21" t="str">
        <f>VLOOKUP(C217,モンスター!$B$6:$H$100,2,FALSE)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725</v>
      </c>
      <c r="C218" s="21" t="s">
        <v>456</v>
      </c>
      <c r="D218" s="21" t="s">
        <v>1041</v>
      </c>
      <c r="E218" s="21" t="b">
        <v>0</v>
      </c>
      <c r="G218" s="21" t="str">
        <f>VLOOKUP(C218,モンスター!$B$6:$H$100,2,FALSE)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726</v>
      </c>
      <c r="C219" s="21" t="s">
        <v>456</v>
      </c>
      <c r="D219" s="21" t="s">
        <v>1042</v>
      </c>
      <c r="E219" s="21" t="b">
        <v>0</v>
      </c>
      <c r="G219" s="21" t="str">
        <f>VLOOKUP(C219,モンスター!$B$6:$H$100,2,FALSE)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727</v>
      </c>
      <c r="C220" s="21" t="s">
        <v>456</v>
      </c>
      <c r="D220" s="21" t="s">
        <v>1042</v>
      </c>
      <c r="E220" s="21" t="b">
        <v>0</v>
      </c>
      <c r="G220" s="21" t="str">
        <f>VLOOKUP(C220,モンスター!$B$6:$H$100,2,FALSE)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728</v>
      </c>
      <c r="C221" s="21" t="s">
        <v>457</v>
      </c>
      <c r="D221" s="21" t="s">
        <v>1051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729</v>
      </c>
      <c r="C222" s="21" t="s">
        <v>457</v>
      </c>
      <c r="D222" s="21" t="s">
        <v>1063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730</v>
      </c>
      <c r="C223" s="21" t="s">
        <v>457</v>
      </c>
      <c r="D223" s="21" t="s">
        <v>1041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731</v>
      </c>
      <c r="C224" s="21" t="s">
        <v>457</v>
      </c>
      <c r="D224" s="21" t="s">
        <v>1041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VLOOKUP(D224,スキル!$C$4:$O$96,8,FALSE)</f>
        <v>10</v>
      </c>
      <c r="I224" s="25" t="str">
        <f>VLOOKUP(D224,スキル!$C$4:$O$96,2,FALSE)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732</v>
      </c>
      <c r="C225" s="21" t="s">
        <v>457</v>
      </c>
      <c r="D225" s="21" t="s">
        <v>1042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733</v>
      </c>
      <c r="C226" s="21" t="s">
        <v>457</v>
      </c>
      <c r="D226" s="21" t="s">
        <v>1018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734</v>
      </c>
      <c r="C227" s="21" t="s">
        <v>458</v>
      </c>
      <c r="D227" s="21" t="s">
        <v>1051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735</v>
      </c>
      <c r="C228" s="21" t="s">
        <v>458</v>
      </c>
      <c r="D228" s="21" t="s">
        <v>1064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736</v>
      </c>
      <c r="C229" s="21" t="s">
        <v>458</v>
      </c>
      <c r="D229" s="21" t="s">
        <v>1041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737</v>
      </c>
      <c r="C230" s="21" t="s">
        <v>458</v>
      </c>
      <c r="D230" s="21" t="s">
        <v>1020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738</v>
      </c>
      <c r="C231" s="21" t="s">
        <v>458</v>
      </c>
      <c r="D231" s="21" t="s">
        <v>1042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739</v>
      </c>
      <c r="C232" s="21" t="s">
        <v>458</v>
      </c>
      <c r="D232" s="21" t="s">
        <v>1018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740</v>
      </c>
      <c r="C233" s="21" t="s">
        <v>459</v>
      </c>
      <c r="D233" s="21" t="s">
        <v>1061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VLOOKUP(D233,スキル!$C$4:$O$96,8,FALSE)</f>
        <v>40</v>
      </c>
      <c r="I233" s="25" t="str">
        <f>VLOOKUP(D233,スキル!$C$4:$O$96,2,FALSE)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741</v>
      </c>
      <c r="C234" s="21" t="s">
        <v>459</v>
      </c>
      <c r="D234" s="21" t="s">
        <v>1067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742</v>
      </c>
      <c r="C235" s="21" t="s">
        <v>459</v>
      </c>
      <c r="D235" s="21" t="s">
        <v>1060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743</v>
      </c>
      <c r="C236" s="21" t="s">
        <v>459</v>
      </c>
      <c r="D236" s="21" t="s">
        <v>1042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744</v>
      </c>
      <c r="C237" s="21" t="s">
        <v>459</v>
      </c>
      <c r="D237" s="21" t="s">
        <v>1065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745</v>
      </c>
      <c r="C238" s="21" t="s">
        <v>459</v>
      </c>
      <c r="D238" s="21" t="s">
        <v>1035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746</v>
      </c>
      <c r="C239" s="21" t="s">
        <v>460</v>
      </c>
      <c r="D239" s="21" t="s">
        <v>1041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747</v>
      </c>
      <c r="C240" s="21" t="s">
        <v>460</v>
      </c>
      <c r="D240" s="21" t="s">
        <v>1041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748</v>
      </c>
      <c r="C241" s="21" t="s">
        <v>460</v>
      </c>
      <c r="D241" s="21" t="s">
        <v>1018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749</v>
      </c>
      <c r="C242" s="21" t="s">
        <v>460</v>
      </c>
      <c r="D242" s="21" t="s">
        <v>1054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750</v>
      </c>
      <c r="C243" s="21" t="s">
        <v>460</v>
      </c>
      <c r="D243" s="21" t="s">
        <v>1039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751</v>
      </c>
      <c r="C244" s="21" t="s">
        <v>460</v>
      </c>
      <c r="D244" s="21" t="s">
        <v>1042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752</v>
      </c>
      <c r="C245" s="21" t="s">
        <v>461</v>
      </c>
      <c r="D245" s="21" t="s">
        <v>1031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753</v>
      </c>
      <c r="C246" s="21" t="s">
        <v>461</v>
      </c>
      <c r="D246" s="21" t="s">
        <v>1041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754</v>
      </c>
      <c r="C247" s="21" t="s">
        <v>461</v>
      </c>
      <c r="D247" s="21" t="s">
        <v>1018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755</v>
      </c>
      <c r="C248" s="21" t="s">
        <v>461</v>
      </c>
      <c r="D248" s="21" t="s">
        <v>1054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756</v>
      </c>
      <c r="C249" s="21" t="s">
        <v>461</v>
      </c>
      <c r="D249" s="21" t="s">
        <v>1042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757</v>
      </c>
      <c r="C250" s="21" t="s">
        <v>461</v>
      </c>
      <c r="D250" s="21" t="s">
        <v>1042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758</v>
      </c>
      <c r="C251" s="21" t="s">
        <v>462</v>
      </c>
      <c r="D251" s="21" t="s">
        <v>1055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759</v>
      </c>
      <c r="C252" s="21" t="s">
        <v>462</v>
      </c>
      <c r="D252" s="21" t="s">
        <v>1065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760</v>
      </c>
      <c r="C253" s="21" t="s">
        <v>462</v>
      </c>
      <c r="D253" s="21" t="s">
        <v>1030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761</v>
      </c>
      <c r="C254" s="21" t="s">
        <v>462</v>
      </c>
      <c r="D254" s="21" t="s">
        <v>1041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VLOOKUP(D254,スキル!$C$4:$O$96,8,FALSE)</f>
        <v>10</v>
      </c>
      <c r="I254" s="25" t="str">
        <f>VLOOKUP(D254,スキル!$C$4:$O$96,2,FALSE)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762</v>
      </c>
      <c r="C255" s="21" t="s">
        <v>462</v>
      </c>
      <c r="D255" s="21" t="s">
        <v>1023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763</v>
      </c>
      <c r="C256" s="21" t="s">
        <v>462</v>
      </c>
      <c r="D256" s="21" t="s">
        <v>1042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764</v>
      </c>
      <c r="C257" s="21" t="s">
        <v>463</v>
      </c>
      <c r="D257" s="21" t="s">
        <v>1017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765</v>
      </c>
      <c r="C258" s="21" t="s">
        <v>463</v>
      </c>
      <c r="D258" s="21" t="s">
        <v>1017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766</v>
      </c>
      <c r="C259" s="21" t="s">
        <v>463</v>
      </c>
      <c r="D259" s="21" t="s">
        <v>1026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767</v>
      </c>
      <c r="C260" s="21" t="s">
        <v>463</v>
      </c>
      <c r="D260" s="21" t="s">
        <v>1026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768</v>
      </c>
      <c r="C261" s="21" t="s">
        <v>463</v>
      </c>
      <c r="D261" s="21" t="s">
        <v>1033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769</v>
      </c>
      <c r="C262" s="21" t="s">
        <v>463</v>
      </c>
      <c r="D262" s="21" t="s">
        <v>1018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770</v>
      </c>
      <c r="C263" s="21" t="s">
        <v>464</v>
      </c>
      <c r="D263" s="21" t="s">
        <v>1017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771</v>
      </c>
      <c r="C264" s="21" t="s">
        <v>464</v>
      </c>
      <c r="D264" s="21" t="s">
        <v>1025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772</v>
      </c>
      <c r="C265" s="21" t="s">
        <v>464</v>
      </c>
      <c r="D265" s="21" t="s">
        <v>1026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773</v>
      </c>
      <c r="C266" s="21" t="s">
        <v>464</v>
      </c>
      <c r="D266" s="21" t="s">
        <v>1048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774</v>
      </c>
      <c r="C267" s="21" t="s">
        <v>464</v>
      </c>
      <c r="D267" s="21" t="s">
        <v>1034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775</v>
      </c>
      <c r="C268" s="21" t="s">
        <v>464</v>
      </c>
      <c r="D268" s="21" t="s">
        <v>1018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776</v>
      </c>
      <c r="C269" s="21" t="s">
        <v>465</v>
      </c>
      <c r="D269" s="21" t="s">
        <v>1050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777</v>
      </c>
      <c r="C270" s="21" t="s">
        <v>465</v>
      </c>
      <c r="D270" s="21" t="s">
        <v>1048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778</v>
      </c>
      <c r="C271" s="21" t="s">
        <v>465</v>
      </c>
      <c r="D271" s="21" t="s">
        <v>1032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779</v>
      </c>
      <c r="C272" s="21" t="s">
        <v>465</v>
      </c>
      <c r="D272" s="21" t="s">
        <v>1049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780</v>
      </c>
      <c r="C273" s="21" t="s">
        <v>465</v>
      </c>
      <c r="D273" s="21" t="s">
        <v>1035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781</v>
      </c>
      <c r="C274" s="21" t="s">
        <v>465</v>
      </c>
      <c r="D274" s="21" t="s">
        <v>1052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782</v>
      </c>
      <c r="C275" s="21" t="s">
        <v>466</v>
      </c>
      <c r="D275" s="21" t="s">
        <v>1017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783</v>
      </c>
      <c r="C276" s="21" t="s">
        <v>466</v>
      </c>
      <c r="D276" s="21" t="s">
        <v>1017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784</v>
      </c>
      <c r="C277" s="21" t="s">
        <v>466</v>
      </c>
      <c r="D277" s="21" t="s">
        <v>1017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785</v>
      </c>
      <c r="C278" s="21" t="s">
        <v>466</v>
      </c>
      <c r="D278" s="21" t="s">
        <v>1069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786</v>
      </c>
      <c r="C279" s="21" t="s">
        <v>466</v>
      </c>
      <c r="D279" s="21" t="s">
        <v>1069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787</v>
      </c>
      <c r="C280" s="21" t="s">
        <v>466</v>
      </c>
      <c r="D280" s="21" t="s">
        <v>1069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VLOOKUP(D280,スキル!$C$4:$O$96,8,FALSE)</f>
        <v>15</v>
      </c>
      <c r="I280" s="25" t="str">
        <f>VLOOKUP(D280,スキル!$C$4:$O$96,2,FALSE)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788</v>
      </c>
      <c r="C281" s="21" t="s">
        <v>467</v>
      </c>
      <c r="D281" s="21" t="s">
        <v>1070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789</v>
      </c>
      <c r="C282" s="21" t="s">
        <v>467</v>
      </c>
      <c r="D282" s="21" t="s">
        <v>1070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VLOOKUP(D282,スキル!$C$4:$O$96,8,FALSE)</f>
        <v>30</v>
      </c>
      <c r="I282" s="25" t="str">
        <f>VLOOKUP(D282,スキル!$C$4:$O$96,2,FALSE)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790</v>
      </c>
      <c r="C283" s="21" t="s">
        <v>467</v>
      </c>
      <c r="D283" s="21" t="s">
        <v>1071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VLOOKUP(D283,スキル!$C$4:$O$96,8,FALSE)</f>
        <v>15</v>
      </c>
      <c r="I283" s="25" t="str">
        <f>VLOOKUP(D283,スキル!$C$4:$O$96,2,FALSE)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791</v>
      </c>
      <c r="C284" s="21" t="s">
        <v>467</v>
      </c>
      <c r="D284" s="21" t="s">
        <v>1017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792</v>
      </c>
      <c r="C285" s="21" t="s">
        <v>467</v>
      </c>
      <c r="D285" s="21" t="s">
        <v>1018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793</v>
      </c>
      <c r="C286" s="21" t="s">
        <v>467</v>
      </c>
      <c r="D286" s="21" t="s">
        <v>1072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794</v>
      </c>
      <c r="C287" s="21" t="s">
        <v>468</v>
      </c>
      <c r="D287" s="21" t="s">
        <v>1070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795</v>
      </c>
      <c r="C288" s="21" t="s">
        <v>468</v>
      </c>
      <c r="D288" s="21" t="s">
        <v>1069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796</v>
      </c>
      <c r="C289" s="21" t="s">
        <v>468</v>
      </c>
      <c r="D289" s="21" t="s">
        <v>1073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797</v>
      </c>
      <c r="C290" s="21" t="s">
        <v>468</v>
      </c>
      <c r="D290" s="21" t="s">
        <v>1073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VLOOKUP(D290,スキル!$C$4:$O$96,8,FALSE)</f>
        <v>30</v>
      </c>
      <c r="I290" s="25" t="str">
        <f>VLOOKUP(D290,スキル!$C$4:$O$96,2,FALSE)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798</v>
      </c>
      <c r="C291" s="21" t="s">
        <v>468</v>
      </c>
      <c r="D291" s="21" t="s">
        <v>1023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799</v>
      </c>
      <c r="C292" s="21" t="s">
        <v>468</v>
      </c>
      <c r="D292" s="21" t="s">
        <v>1020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800</v>
      </c>
      <c r="C293" s="21" t="s">
        <v>469</v>
      </c>
      <c r="D293" s="21" t="s">
        <v>1017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801</v>
      </c>
      <c r="C294" s="21" t="s">
        <v>469</v>
      </c>
      <c r="D294" s="21" t="s">
        <v>1017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802</v>
      </c>
      <c r="C295" s="21" t="s">
        <v>469</v>
      </c>
      <c r="D295" s="21" t="s">
        <v>1074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803</v>
      </c>
      <c r="C296" s="21" t="s">
        <v>469</v>
      </c>
      <c r="D296" s="21" t="s">
        <v>1043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804</v>
      </c>
      <c r="C297" s="21" t="s">
        <v>469</v>
      </c>
      <c r="D297" s="21" t="s">
        <v>1018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805</v>
      </c>
      <c r="C298" s="21" t="s">
        <v>469</v>
      </c>
      <c r="D298" s="21" t="s">
        <v>1074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806</v>
      </c>
      <c r="C299" s="21" t="s">
        <v>470</v>
      </c>
      <c r="D299" s="21" t="s">
        <v>1075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807</v>
      </c>
      <c r="C300" s="21" t="s">
        <v>470</v>
      </c>
      <c r="D300" s="21" t="s">
        <v>1075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808</v>
      </c>
      <c r="C301" s="21" t="s">
        <v>470</v>
      </c>
      <c r="D301" s="21" t="s">
        <v>1045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809</v>
      </c>
      <c r="C302" s="21" t="s">
        <v>470</v>
      </c>
      <c r="D302" s="21" t="s">
        <v>1023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810</v>
      </c>
      <c r="C303" s="21" t="s">
        <v>470</v>
      </c>
      <c r="D303" s="21" t="s">
        <v>1043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811</v>
      </c>
      <c r="C304" s="21" t="s">
        <v>470</v>
      </c>
      <c r="D304" s="21" t="s">
        <v>1071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812</v>
      </c>
      <c r="C305" s="21" t="s">
        <v>471</v>
      </c>
      <c r="D305" s="21" t="s">
        <v>1017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813</v>
      </c>
      <c r="C306" s="21" t="s">
        <v>471</v>
      </c>
      <c r="D306" s="21" t="s">
        <v>1072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814</v>
      </c>
      <c r="C307" s="21" t="s">
        <v>471</v>
      </c>
      <c r="D307" s="21" t="s">
        <v>1019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815</v>
      </c>
      <c r="C308" s="21" t="s">
        <v>471</v>
      </c>
      <c r="D308" s="21" t="s">
        <v>1072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816</v>
      </c>
      <c r="C309" s="21" t="s">
        <v>471</v>
      </c>
      <c r="D309" s="21" t="s">
        <v>1017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VLOOKUP(D309,スキル!$C$4:$O$96,8,FALSE)</f>
        <v>10</v>
      </c>
      <c r="I309" s="25" t="str">
        <f>VLOOKUP(D309,スキル!$C$4:$O$96,2,FALSE)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817</v>
      </c>
      <c r="C310" s="21" t="s">
        <v>471</v>
      </c>
      <c r="D310" s="21" t="s">
        <v>1017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818</v>
      </c>
      <c r="C311" s="21" t="s">
        <v>472</v>
      </c>
      <c r="D311" s="21" t="s">
        <v>1072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819</v>
      </c>
      <c r="C312" s="21" t="s">
        <v>472</v>
      </c>
      <c r="D312" s="21" t="s">
        <v>1072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VLOOKUP(D312,スキル!$C$4:$O$96,8,FALSE)</f>
        <v>15</v>
      </c>
      <c r="I312" s="25" t="str">
        <f>VLOOKUP(D312,スキル!$C$4:$O$96,2,FALSE)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820</v>
      </c>
      <c r="C313" s="21" t="s">
        <v>472</v>
      </c>
      <c r="D313" s="21" t="s">
        <v>1076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821</v>
      </c>
      <c r="C314" s="21" t="s">
        <v>472</v>
      </c>
      <c r="D314" s="21" t="s">
        <v>1022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822</v>
      </c>
      <c r="C315" s="21" t="s">
        <v>472</v>
      </c>
      <c r="D315" s="21" t="s">
        <v>1018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823</v>
      </c>
      <c r="C316" s="21" t="s">
        <v>472</v>
      </c>
      <c r="D316" s="21" t="s">
        <v>1017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824</v>
      </c>
      <c r="C317" s="21" t="s">
        <v>473</v>
      </c>
      <c r="D317" s="21" t="s">
        <v>1077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825</v>
      </c>
      <c r="C318" s="21" t="s">
        <v>473</v>
      </c>
      <c r="D318" s="21" t="s">
        <v>1017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VLOOKUP(D318,スキル!$C$4:$O$96,8,FALSE)</f>
        <v>10</v>
      </c>
      <c r="I318" s="25" t="str">
        <f>VLOOKUP(D318,スキル!$C$4:$O$96,2,FALSE)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826</v>
      </c>
      <c r="C319" s="21" t="s">
        <v>473</v>
      </c>
      <c r="D319" s="21" t="s">
        <v>1017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827</v>
      </c>
      <c r="C320" s="21" t="s">
        <v>473</v>
      </c>
      <c r="D320" s="21" t="s">
        <v>1021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828</v>
      </c>
      <c r="C321" s="21" t="s">
        <v>473</v>
      </c>
      <c r="D321" s="21" t="s">
        <v>1021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829</v>
      </c>
      <c r="C322" s="21" t="s">
        <v>473</v>
      </c>
      <c r="D322" s="21" t="s">
        <v>1018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830</v>
      </c>
      <c r="C323" s="21" t="s">
        <v>474</v>
      </c>
      <c r="D323" s="21" t="s">
        <v>1027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831</v>
      </c>
      <c r="C324" s="21" t="s">
        <v>474</v>
      </c>
      <c r="D324" s="21" t="s">
        <v>1077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832</v>
      </c>
      <c r="C325" s="21" t="s">
        <v>474</v>
      </c>
      <c r="D325" s="21" t="s">
        <v>1053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833</v>
      </c>
      <c r="C326" s="21" t="s">
        <v>474</v>
      </c>
      <c r="D326" s="21" t="s">
        <v>1051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834</v>
      </c>
      <c r="C327" s="21" t="s">
        <v>474</v>
      </c>
      <c r="D327" s="21" t="s">
        <v>1020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835</v>
      </c>
      <c r="C328" s="21" t="s">
        <v>474</v>
      </c>
      <c r="D328" s="21" t="s">
        <v>1020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836</v>
      </c>
      <c r="C329" s="21" t="s">
        <v>475</v>
      </c>
      <c r="D329" s="21" t="s">
        <v>1027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837</v>
      </c>
      <c r="C330" s="21" t="s">
        <v>475</v>
      </c>
      <c r="D330" s="21" t="s">
        <v>1077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838</v>
      </c>
      <c r="C331" s="21" t="s">
        <v>475</v>
      </c>
      <c r="D331" s="21" t="s">
        <v>1078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839</v>
      </c>
      <c r="C332" s="21" t="s">
        <v>475</v>
      </c>
      <c r="D332" s="21" t="s">
        <v>1030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840</v>
      </c>
      <c r="C333" s="21" t="s">
        <v>475</v>
      </c>
      <c r="D333" s="21" t="s">
        <v>1037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841</v>
      </c>
      <c r="C334" s="21" t="s">
        <v>475</v>
      </c>
      <c r="D334" s="21" t="s">
        <v>1061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842</v>
      </c>
      <c r="C335" s="21" t="s">
        <v>476</v>
      </c>
      <c r="D335" s="21" t="s">
        <v>1077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843</v>
      </c>
      <c r="C336" s="21" t="s">
        <v>476</v>
      </c>
      <c r="D336" s="21" t="s">
        <v>1028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VLOOKUP(D336,スキル!$C$4:$O$96,8,FALSE)</f>
        <v>10</v>
      </c>
      <c r="I336" s="25" t="str">
        <f>VLOOKUP(D336,スキル!$C$4:$O$96,2,FALSE)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844</v>
      </c>
      <c r="C337" s="21" t="s">
        <v>476</v>
      </c>
      <c r="D337" s="21" t="s">
        <v>1028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845</v>
      </c>
      <c r="C338" s="21" t="s">
        <v>476</v>
      </c>
      <c r="D338" s="21" t="s">
        <v>1072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846</v>
      </c>
      <c r="C339" s="21" t="s">
        <v>476</v>
      </c>
      <c r="D339" s="21" t="s">
        <v>1028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847</v>
      </c>
      <c r="C340" s="21" t="s">
        <v>476</v>
      </c>
      <c r="D340" s="21" t="s">
        <v>1018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848</v>
      </c>
      <c r="C341" s="21" t="s">
        <v>477</v>
      </c>
      <c r="D341" s="21" t="s">
        <v>1031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849</v>
      </c>
      <c r="C342" s="21" t="s">
        <v>477</v>
      </c>
      <c r="D342" s="21" t="s">
        <v>1031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850</v>
      </c>
      <c r="C343" s="21" t="s">
        <v>477</v>
      </c>
      <c r="D343" s="21" t="s">
        <v>1025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851</v>
      </c>
      <c r="C344" s="21" t="s">
        <v>477</v>
      </c>
      <c r="D344" s="21" t="s">
        <v>1078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852</v>
      </c>
      <c r="C345" s="21" t="s">
        <v>477</v>
      </c>
      <c r="D345" s="21" t="s">
        <v>1017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VLOOKUP(D345,スキル!$C$4:$O$96,8,FALSE)</f>
        <v>10</v>
      </c>
      <c r="I345" s="25" t="str">
        <f>VLOOKUP(D345,スキル!$C$4:$O$96,2,FALSE)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853</v>
      </c>
      <c r="C346" s="21" t="s">
        <v>477</v>
      </c>
      <c r="D346" s="21" t="s">
        <v>1017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854</v>
      </c>
      <c r="C347" s="21" t="s">
        <v>478</v>
      </c>
      <c r="D347" s="21" t="s">
        <v>1041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855</v>
      </c>
      <c r="C348" s="21" t="s">
        <v>478</v>
      </c>
      <c r="D348" s="21" t="s">
        <v>1018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856</v>
      </c>
      <c r="C349" s="21" t="s">
        <v>478</v>
      </c>
      <c r="D349" s="21" t="s">
        <v>1071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857</v>
      </c>
      <c r="C350" s="21" t="s">
        <v>478</v>
      </c>
      <c r="D350" s="21" t="s">
        <v>1079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858</v>
      </c>
      <c r="C351" s="21" t="s">
        <v>478</v>
      </c>
      <c r="D351" s="21" t="s">
        <v>1019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VLOOKUP(D351,スキル!$C$4:$O$96,8,FALSE)</f>
        <v>10</v>
      </c>
      <c r="I351" s="25" t="str">
        <f>VLOOKUP(D351,スキル!$C$4:$O$96,2,FALSE)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859</v>
      </c>
      <c r="C352" s="21" t="s">
        <v>478</v>
      </c>
      <c r="D352" s="21" t="s">
        <v>1019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860</v>
      </c>
      <c r="C353" s="21" t="s">
        <v>479</v>
      </c>
      <c r="D353" s="21" t="s">
        <v>1030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861</v>
      </c>
      <c r="C354" s="21" t="s">
        <v>479</v>
      </c>
      <c r="D354" s="21" t="s">
        <v>1022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862</v>
      </c>
      <c r="C355" s="21" t="s">
        <v>479</v>
      </c>
      <c r="D355" s="21" t="s">
        <v>1022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VLOOKUP(D355,スキル!$C$4:$O$96,8,FALSE)</f>
        <v>30</v>
      </c>
      <c r="I355" s="25" t="str">
        <f>VLOOKUP(D355,スキル!$C$4:$O$96,2,FALSE)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863</v>
      </c>
      <c r="C356" s="21" t="s">
        <v>479</v>
      </c>
      <c r="D356" s="21" t="s">
        <v>1018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864</v>
      </c>
      <c r="C357" s="21" t="s">
        <v>479</v>
      </c>
      <c r="D357" s="21" t="s">
        <v>1079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865</v>
      </c>
      <c r="C358" s="21" t="s">
        <v>479</v>
      </c>
      <c r="D358" s="21" t="s">
        <v>1069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866</v>
      </c>
      <c r="C359" s="21" t="s">
        <v>480</v>
      </c>
      <c r="D359" s="21" t="s">
        <v>1024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867</v>
      </c>
      <c r="C360" s="21" t="s">
        <v>480</v>
      </c>
      <c r="D360" s="21" t="s">
        <v>1080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868</v>
      </c>
      <c r="C361" s="21" t="s">
        <v>480</v>
      </c>
      <c r="D361" s="21" t="s">
        <v>1072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869</v>
      </c>
      <c r="C362" s="21" t="s">
        <v>480</v>
      </c>
      <c r="D362" s="21" t="s">
        <v>1041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870</v>
      </c>
      <c r="C363" s="21" t="s">
        <v>480</v>
      </c>
      <c r="D363" s="21" t="s">
        <v>1058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871</v>
      </c>
      <c r="C364" s="21" t="s">
        <v>480</v>
      </c>
      <c r="D364" s="21" t="s">
        <v>1080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872</v>
      </c>
      <c r="C365" s="21" t="s">
        <v>481</v>
      </c>
      <c r="D365" s="21" t="s">
        <v>1041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873</v>
      </c>
      <c r="C366" s="21" t="s">
        <v>481</v>
      </c>
      <c r="D366" s="21" t="s">
        <v>1041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874</v>
      </c>
      <c r="C367" s="21" t="s">
        <v>481</v>
      </c>
      <c r="D367" s="21" t="s">
        <v>1028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875</v>
      </c>
      <c r="C368" s="21" t="s">
        <v>481</v>
      </c>
      <c r="D368" s="21" t="s">
        <v>1028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876</v>
      </c>
      <c r="C369" s="21" t="s">
        <v>481</v>
      </c>
      <c r="D369" s="21" t="s">
        <v>1018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877</v>
      </c>
      <c r="C370" s="21" t="s">
        <v>481</v>
      </c>
      <c r="D370" s="21" t="s">
        <v>1072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878</v>
      </c>
      <c r="C371" s="21" t="s">
        <v>482</v>
      </c>
      <c r="D371" s="21" t="s">
        <v>1072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879</v>
      </c>
      <c r="C372" s="21" t="s">
        <v>482</v>
      </c>
      <c r="D372" s="21" t="s">
        <v>1031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880</v>
      </c>
      <c r="C373" s="21" t="s">
        <v>482</v>
      </c>
      <c r="D373" s="21" t="s">
        <v>1031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881</v>
      </c>
      <c r="C374" s="21" t="s">
        <v>482</v>
      </c>
      <c r="D374" s="21" t="s">
        <v>1018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882</v>
      </c>
      <c r="C375" s="21" t="s">
        <v>482</v>
      </c>
      <c r="D375" s="21" t="s">
        <v>1041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883</v>
      </c>
      <c r="C376" s="21" t="s">
        <v>482</v>
      </c>
      <c r="D376" s="21" t="s">
        <v>1069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884</v>
      </c>
      <c r="C377" s="21" t="s">
        <v>483</v>
      </c>
      <c r="D377" s="21" t="s">
        <v>1043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885</v>
      </c>
      <c r="C378" s="21" t="s">
        <v>483</v>
      </c>
      <c r="D378" s="21" t="s">
        <v>1045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886</v>
      </c>
      <c r="C379" s="21" t="s">
        <v>483</v>
      </c>
      <c r="D379" s="21" t="s">
        <v>1042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887</v>
      </c>
      <c r="C380" s="21" t="s">
        <v>483</v>
      </c>
      <c r="D380" s="21" t="s">
        <v>1079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888</v>
      </c>
      <c r="C381" s="21" t="s">
        <v>483</v>
      </c>
      <c r="D381" s="21" t="s">
        <v>1023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889</v>
      </c>
      <c r="C382" s="21" t="s">
        <v>483</v>
      </c>
      <c r="D382" s="21" t="s">
        <v>1079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890</v>
      </c>
      <c r="C383" s="21" t="s">
        <v>484</v>
      </c>
      <c r="D383" s="21" t="s">
        <v>1045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891</v>
      </c>
      <c r="C384" s="21" t="s">
        <v>484</v>
      </c>
      <c r="D384" s="21" t="s">
        <v>1055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892</v>
      </c>
      <c r="C385" s="21" t="s">
        <v>484</v>
      </c>
      <c r="D385" s="21" t="s">
        <v>1076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893</v>
      </c>
      <c r="C386" s="21" t="s">
        <v>484</v>
      </c>
      <c r="D386" s="21" t="s">
        <v>1030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894</v>
      </c>
      <c r="C387" s="21" t="s">
        <v>484</v>
      </c>
      <c r="D387" s="21" t="s">
        <v>1018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895</v>
      </c>
      <c r="C388" s="21" t="s">
        <v>484</v>
      </c>
      <c r="D388" s="21" t="s">
        <v>1023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896</v>
      </c>
      <c r="C389" s="21" t="s">
        <v>485</v>
      </c>
      <c r="D389" s="21" t="s">
        <v>1017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897</v>
      </c>
      <c r="C390" s="21" t="s">
        <v>485</v>
      </c>
      <c r="D390" s="21" t="s">
        <v>1017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898</v>
      </c>
      <c r="C391" s="21" t="s">
        <v>485</v>
      </c>
      <c r="D391" s="21" t="s">
        <v>1033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899</v>
      </c>
      <c r="C392" s="21" t="s">
        <v>485</v>
      </c>
      <c r="D392" s="21" t="s">
        <v>1033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900</v>
      </c>
      <c r="C393" s="21" t="s">
        <v>485</v>
      </c>
      <c r="D393" s="21" t="s">
        <v>1077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901</v>
      </c>
      <c r="C394" s="21" t="s">
        <v>485</v>
      </c>
      <c r="D394" s="21" t="s">
        <v>1074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902</v>
      </c>
      <c r="C395" s="21" t="s">
        <v>485</v>
      </c>
      <c r="D395" s="21" t="s">
        <v>1018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903</v>
      </c>
      <c r="C396" s="21" t="s">
        <v>486</v>
      </c>
      <c r="D396" s="21" t="s">
        <v>1034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904</v>
      </c>
      <c r="C397" s="21" t="s">
        <v>486</v>
      </c>
      <c r="D397" s="21" t="s">
        <v>1036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905</v>
      </c>
      <c r="C398" s="21" t="s">
        <v>486</v>
      </c>
      <c r="D398" s="21" t="s">
        <v>1053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906</v>
      </c>
      <c r="C399" s="21" t="s">
        <v>486</v>
      </c>
      <c r="D399" s="21" t="s">
        <v>1037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907</v>
      </c>
      <c r="C400" s="21" t="s">
        <v>486</v>
      </c>
      <c r="D400" s="21" t="s">
        <v>1018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908</v>
      </c>
      <c r="C401" s="21" t="s">
        <v>486</v>
      </c>
      <c r="D401" s="21" t="s">
        <v>1078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909</v>
      </c>
      <c r="C402" s="21" t="s">
        <v>487</v>
      </c>
      <c r="D402" s="21" t="s">
        <v>1069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910</v>
      </c>
      <c r="C403" s="21" t="s">
        <v>487</v>
      </c>
      <c r="D403" s="21" t="s">
        <v>1070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911</v>
      </c>
      <c r="C404" s="21" t="s">
        <v>487</v>
      </c>
      <c r="D404" s="21" t="s">
        <v>1040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912</v>
      </c>
      <c r="C405" s="21" t="s">
        <v>487</v>
      </c>
      <c r="D405" s="21" t="s">
        <v>1046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913</v>
      </c>
      <c r="C406" s="21" t="s">
        <v>487</v>
      </c>
      <c r="D406" s="21" t="s">
        <v>1018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914</v>
      </c>
      <c r="C407" s="21" t="s">
        <v>487</v>
      </c>
      <c r="D407" s="21" t="s">
        <v>1072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915</v>
      </c>
      <c r="C408" s="21" t="s">
        <v>488</v>
      </c>
      <c r="D408" s="21" t="s">
        <v>1040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916</v>
      </c>
      <c r="C409" s="21" t="s">
        <v>488</v>
      </c>
      <c r="D409" s="21" t="s">
        <v>1046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917</v>
      </c>
      <c r="C410" s="21" t="s">
        <v>488</v>
      </c>
      <c r="D410" s="21" t="s">
        <v>1047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918</v>
      </c>
      <c r="C411" s="21" t="s">
        <v>488</v>
      </c>
      <c r="D411" s="21" t="s">
        <v>1072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919</v>
      </c>
      <c r="C412" s="21" t="s">
        <v>488</v>
      </c>
      <c r="D412" s="21" t="s">
        <v>1076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920</v>
      </c>
      <c r="C413" s="21" t="s">
        <v>488</v>
      </c>
      <c r="D413" s="21" t="s">
        <v>1070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921</v>
      </c>
      <c r="C414" s="21" t="s">
        <v>489</v>
      </c>
      <c r="D414" s="21" t="s">
        <v>1041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922</v>
      </c>
      <c r="C415" s="21" t="s">
        <v>489</v>
      </c>
      <c r="D415" s="21" t="s">
        <v>1072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923</v>
      </c>
      <c r="C416" s="21" t="s">
        <v>489</v>
      </c>
      <c r="D416" s="21" t="s">
        <v>1041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VLOOKUP(D416,スキル!$C$4:$O$96,8,FALSE)</f>
        <v>10</v>
      </c>
      <c r="I416" s="25" t="str">
        <f>VLOOKUP(D416,スキル!$C$4:$O$96,2,FALSE)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924</v>
      </c>
      <c r="C417" s="21" t="s">
        <v>489</v>
      </c>
      <c r="D417" s="21" t="s">
        <v>1072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925</v>
      </c>
      <c r="C418" s="21" t="s">
        <v>489</v>
      </c>
      <c r="D418" s="21" t="s">
        <v>1018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926</v>
      </c>
      <c r="C419" s="21" t="s">
        <v>489</v>
      </c>
      <c r="D419" s="21" t="s">
        <v>1028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927</v>
      </c>
      <c r="C420" s="21" t="s">
        <v>490</v>
      </c>
      <c r="D420" s="21" t="s">
        <v>1072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928</v>
      </c>
      <c r="C421" s="21" t="s">
        <v>490</v>
      </c>
      <c r="D421" s="21" t="s">
        <v>1072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VLOOKUP(D421,スキル!$C$4:$O$96,8,FALSE)</f>
        <v>15</v>
      </c>
      <c r="I421" s="25" t="str">
        <f>VLOOKUP(D421,スキル!$C$4:$O$96,2,FALSE)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929</v>
      </c>
      <c r="C422" s="21" t="s">
        <v>490</v>
      </c>
      <c r="D422" s="21" t="s">
        <v>1076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930</v>
      </c>
      <c r="C423" s="21" t="s">
        <v>490</v>
      </c>
      <c r="D423" s="21" t="s">
        <v>1065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931</v>
      </c>
      <c r="C424" s="21" t="s">
        <v>490</v>
      </c>
      <c r="D424" s="21" t="s">
        <v>1022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932</v>
      </c>
      <c r="C425" s="21" t="s">
        <v>490</v>
      </c>
      <c r="D425" s="21" t="s">
        <v>1018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933</v>
      </c>
      <c r="C426" s="21" t="s">
        <v>491</v>
      </c>
      <c r="D426" s="21" t="s">
        <v>1019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934</v>
      </c>
      <c r="C427" s="21" t="s">
        <v>491</v>
      </c>
      <c r="D427" s="21" t="s">
        <v>1019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935</v>
      </c>
      <c r="C428" s="21" t="s">
        <v>491</v>
      </c>
      <c r="D428" s="21" t="s">
        <v>1072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936</v>
      </c>
      <c r="C429" s="21" t="s">
        <v>491</v>
      </c>
      <c r="D429" s="21" t="s">
        <v>1028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937</v>
      </c>
      <c r="C430" s="21" t="s">
        <v>491</v>
      </c>
      <c r="D430" s="21" t="s">
        <v>1018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938</v>
      </c>
      <c r="C431" s="21" t="s">
        <v>491</v>
      </c>
      <c r="D431" s="21" t="s">
        <v>1018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939</v>
      </c>
      <c r="C432" s="21" t="s">
        <v>492</v>
      </c>
      <c r="D432" s="21" t="s">
        <v>1072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940</v>
      </c>
      <c r="C433" s="21" t="s">
        <v>492</v>
      </c>
      <c r="D433" s="21" t="s">
        <v>1076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941</v>
      </c>
      <c r="C434" s="21" t="s">
        <v>492</v>
      </c>
      <c r="D434" s="21" t="s">
        <v>1079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942</v>
      </c>
      <c r="C435" s="21" t="s">
        <v>492</v>
      </c>
      <c r="D435" s="21" t="s">
        <v>1045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943</v>
      </c>
      <c r="C436" s="21" t="s">
        <v>492</v>
      </c>
      <c r="D436" s="21" t="s">
        <v>1023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944</v>
      </c>
      <c r="C437" s="21" t="s">
        <v>492</v>
      </c>
      <c r="D437" s="21" t="s">
        <v>1045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945</v>
      </c>
      <c r="C438" s="21" t="s">
        <v>493</v>
      </c>
      <c r="D438" s="21" t="s">
        <v>1033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946</v>
      </c>
      <c r="C439" s="21" t="s">
        <v>493</v>
      </c>
      <c r="D439" s="21" t="s">
        <v>1033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947</v>
      </c>
      <c r="C440" s="21" t="s">
        <v>493</v>
      </c>
      <c r="D440" s="21" t="s">
        <v>1033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948</v>
      </c>
      <c r="C441" s="21" t="s">
        <v>493</v>
      </c>
      <c r="D441" s="21" t="s">
        <v>1039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949</v>
      </c>
      <c r="C442" s="21" t="s">
        <v>493</v>
      </c>
      <c r="D442" s="21" t="s">
        <v>1018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950</v>
      </c>
      <c r="C443" s="21" t="s">
        <v>493</v>
      </c>
      <c r="D443" s="21" t="s">
        <v>1072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951</v>
      </c>
      <c r="C444" s="21" t="s">
        <v>494</v>
      </c>
      <c r="D444" s="21" t="s">
        <v>1034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952</v>
      </c>
      <c r="C445" s="21" t="s">
        <v>494</v>
      </c>
      <c r="D445" s="21" t="s">
        <v>1033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953</v>
      </c>
      <c r="C446" s="21" t="s">
        <v>494</v>
      </c>
      <c r="D446" s="21" t="s">
        <v>1036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954</v>
      </c>
      <c r="C447" s="21" t="s">
        <v>494</v>
      </c>
      <c r="D447" s="21" t="s">
        <v>1035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955</v>
      </c>
      <c r="C448" s="21" t="s">
        <v>494</v>
      </c>
      <c r="D448" s="21" t="s">
        <v>1072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956</v>
      </c>
      <c r="C449" s="21" t="s">
        <v>494</v>
      </c>
      <c r="D449" s="21" t="s">
        <v>1020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957</v>
      </c>
      <c r="C450" s="21" t="s">
        <v>495</v>
      </c>
      <c r="D450" s="21" t="s">
        <v>1017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958</v>
      </c>
      <c r="C451" s="21" t="s">
        <v>495</v>
      </c>
      <c r="D451" s="21" t="s">
        <v>1044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959</v>
      </c>
      <c r="C452" s="21" t="s">
        <v>495</v>
      </c>
      <c r="D452" s="21" t="s">
        <v>1019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960</v>
      </c>
      <c r="C453" s="21" t="s">
        <v>495</v>
      </c>
      <c r="D453" s="21" t="s">
        <v>1062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961</v>
      </c>
      <c r="C454" s="21" t="s">
        <v>495</v>
      </c>
      <c r="D454" s="21" t="s">
        <v>1077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962</v>
      </c>
      <c r="C455" s="21" t="s">
        <v>495</v>
      </c>
      <c r="D455" s="21" t="s">
        <v>1077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963</v>
      </c>
      <c r="C456" s="21" t="s">
        <v>496</v>
      </c>
      <c r="D456" s="21" t="s">
        <v>1024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964</v>
      </c>
      <c r="C457" s="21" t="s">
        <v>496</v>
      </c>
      <c r="D457" s="21" t="s">
        <v>1079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965</v>
      </c>
      <c r="C458" s="21" t="s">
        <v>496</v>
      </c>
      <c r="D458" s="21" t="s">
        <v>1078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966</v>
      </c>
      <c r="C459" s="21" t="s">
        <v>496</v>
      </c>
      <c r="D459" s="21" t="s">
        <v>1061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967</v>
      </c>
      <c r="C460" s="21" t="s">
        <v>496</v>
      </c>
      <c r="D460" s="21" t="s">
        <v>1023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968</v>
      </c>
      <c r="C461" s="21" t="s">
        <v>496</v>
      </c>
      <c r="D461" s="21" t="s">
        <v>1050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969</v>
      </c>
      <c r="C462" s="21" t="s">
        <v>497</v>
      </c>
      <c r="D462" s="21" t="s">
        <v>1042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970</v>
      </c>
      <c r="C463" s="21" t="s">
        <v>497</v>
      </c>
      <c r="D463" s="21" t="s">
        <v>1042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VLOOKUP(D463,スキル!$C$4:$O$96,8,FALSE)</f>
        <v>20</v>
      </c>
      <c r="I463" s="25" t="str">
        <f>VLOOKUP(D463,スキル!$C$4:$O$96,2,FALSE)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971</v>
      </c>
      <c r="C464" s="21" t="s">
        <v>497</v>
      </c>
      <c r="D464" s="21" t="s">
        <v>1033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972</v>
      </c>
      <c r="C465" s="21" t="s">
        <v>497</v>
      </c>
      <c r="D465" s="21" t="s">
        <v>1053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973</v>
      </c>
      <c r="C466" s="21" t="s">
        <v>497</v>
      </c>
      <c r="D466" s="21" t="s">
        <v>1034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974</v>
      </c>
      <c r="C467" s="21" t="s">
        <v>497</v>
      </c>
      <c r="D467" s="21" t="s">
        <v>1018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975</v>
      </c>
      <c r="C468" s="21" t="s">
        <v>498</v>
      </c>
      <c r="D468" s="21" t="s">
        <v>1034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976</v>
      </c>
      <c r="C469" s="21" t="s">
        <v>498</v>
      </c>
      <c r="D469" s="21" t="s">
        <v>1036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977</v>
      </c>
      <c r="C470" s="21" t="s">
        <v>498</v>
      </c>
      <c r="D470" s="21" t="s">
        <v>1037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978</v>
      </c>
      <c r="C471" s="21" t="s">
        <v>498</v>
      </c>
      <c r="D471" s="21" t="s">
        <v>1072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979</v>
      </c>
      <c r="C472" s="21" t="s">
        <v>498</v>
      </c>
      <c r="D472" s="21" t="s">
        <v>1023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VLOOKUP(D472,スキル!$C$4:$O$96,8,FALSE)</f>
        <v>0</v>
      </c>
      <c r="I472" s="25" t="str">
        <f>VLOOKUP(D472,スキル!$C$4:$O$96,2,FALSE)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980</v>
      </c>
      <c r="C473" s="21" t="s">
        <v>498</v>
      </c>
      <c r="D473" s="21" t="s">
        <v>1040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981</v>
      </c>
      <c r="C474" s="21" t="s">
        <v>499</v>
      </c>
      <c r="D474" s="21" t="s">
        <v>1036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982</v>
      </c>
      <c r="C475" s="21" t="s">
        <v>499</v>
      </c>
      <c r="D475" s="21" t="s">
        <v>1057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983</v>
      </c>
      <c r="C476" s="21" t="s">
        <v>499</v>
      </c>
      <c r="D476" s="21" t="s">
        <v>1051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984</v>
      </c>
      <c r="C477" s="21" t="s">
        <v>499</v>
      </c>
      <c r="D477" s="21" t="s">
        <v>1038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985</v>
      </c>
      <c r="C478" s="21" t="s">
        <v>499</v>
      </c>
      <c r="D478" s="21" t="s">
        <v>1060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986</v>
      </c>
      <c r="C479" s="21" t="s">
        <v>499</v>
      </c>
      <c r="D479" s="21" t="s">
        <v>1023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987</v>
      </c>
      <c r="C480" s="21" t="s">
        <v>500</v>
      </c>
      <c r="D480" s="21" t="s">
        <v>1063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988</v>
      </c>
      <c r="C481" s="21" t="s">
        <v>500</v>
      </c>
      <c r="D481" s="21" t="s">
        <v>1041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989</v>
      </c>
      <c r="C482" s="21" t="s">
        <v>500</v>
      </c>
      <c r="D482" s="21" t="s">
        <v>1072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990</v>
      </c>
      <c r="C483" s="21" t="s">
        <v>500</v>
      </c>
      <c r="D483" s="21" t="s">
        <v>1044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991</v>
      </c>
      <c r="C484" s="21" t="s">
        <v>500</v>
      </c>
      <c r="D484" s="21" t="s">
        <v>1053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992</v>
      </c>
      <c r="C485" s="21" t="s">
        <v>500</v>
      </c>
      <c r="D485" s="21" t="s">
        <v>1018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993</v>
      </c>
      <c r="C486" s="21" t="s">
        <v>501</v>
      </c>
      <c r="D486" s="21" t="s">
        <v>1064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994</v>
      </c>
      <c r="C487" s="21" t="s">
        <v>501</v>
      </c>
      <c r="D487" s="21" t="s">
        <v>1076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995</v>
      </c>
      <c r="C488" s="21" t="s">
        <v>501</v>
      </c>
      <c r="D488" s="21" t="s">
        <v>1041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996</v>
      </c>
      <c r="C489" s="21" t="s">
        <v>501</v>
      </c>
      <c r="D489" s="21" t="s">
        <v>1051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997</v>
      </c>
      <c r="C490" s="21" t="s">
        <v>501</v>
      </c>
      <c r="D490" s="21" t="s">
        <v>1054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998</v>
      </c>
      <c r="C491" s="21" t="s">
        <v>501</v>
      </c>
      <c r="D491" s="21" t="s">
        <v>1018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999</v>
      </c>
      <c r="C492" s="21" t="s">
        <v>502</v>
      </c>
      <c r="D492" s="21" t="s">
        <v>1059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1000</v>
      </c>
      <c r="C493" s="21" t="s">
        <v>502</v>
      </c>
      <c r="D493" s="21" t="s">
        <v>1036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1001</v>
      </c>
      <c r="C494" s="21" t="s">
        <v>502</v>
      </c>
      <c r="D494" s="21" t="s">
        <v>1068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1002</v>
      </c>
      <c r="C495" s="21" t="s">
        <v>502</v>
      </c>
      <c r="D495" s="21" t="s">
        <v>1035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1003</v>
      </c>
      <c r="C496" s="21" t="s">
        <v>502</v>
      </c>
      <c r="D496" s="21" t="s">
        <v>1072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1004</v>
      </c>
      <c r="C497" s="21" t="s">
        <v>502</v>
      </c>
      <c r="D497" s="21" t="s">
        <v>1030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1005</v>
      </c>
      <c r="C498" s="21" t="s">
        <v>503</v>
      </c>
      <c r="D498" s="21" t="s">
        <v>1045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1006</v>
      </c>
      <c r="C499" s="21" t="s">
        <v>503</v>
      </c>
      <c r="D499" s="21" t="s">
        <v>1055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1007</v>
      </c>
      <c r="C500" s="21" t="s">
        <v>503</v>
      </c>
      <c r="D500" s="21" t="s">
        <v>1076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1008</v>
      </c>
      <c r="C501" s="21" t="s">
        <v>503</v>
      </c>
      <c r="D501" s="21" t="s">
        <v>1018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1009</v>
      </c>
      <c r="C502" s="21" t="s">
        <v>503</v>
      </c>
      <c r="D502" s="21" t="s">
        <v>1018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1010</v>
      </c>
      <c r="C503" s="21" t="s">
        <v>503</v>
      </c>
      <c r="D503" s="21" t="s">
        <v>1018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1011</v>
      </c>
      <c r="C504" s="21" t="s">
        <v>504</v>
      </c>
      <c r="D504" s="21" t="s">
        <v>1055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1012</v>
      </c>
      <c r="C505" s="21" t="s">
        <v>504</v>
      </c>
      <c r="D505" s="21" t="s">
        <v>1055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1013</v>
      </c>
      <c r="C506" s="21" t="s">
        <v>504</v>
      </c>
      <c r="D506" s="21" t="s">
        <v>1060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1014</v>
      </c>
      <c r="C507" s="21" t="s">
        <v>504</v>
      </c>
      <c r="D507" s="21" t="s">
        <v>1018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1015</v>
      </c>
      <c r="C508" s="21" t="s">
        <v>504</v>
      </c>
      <c r="D508" s="21" t="s">
        <v>1018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1016</v>
      </c>
      <c r="C509" s="21" t="s">
        <v>504</v>
      </c>
      <c r="D509" s="21" t="s">
        <v>1018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328</v>
      </c>
    </row>
    <row r="2" spans="1:8">
      <c r="A2" s="5" t="s">
        <v>327</v>
      </c>
      <c r="B2" s="5" t="s">
        <v>302</v>
      </c>
      <c r="C2" s="5" t="s">
        <v>303</v>
      </c>
      <c r="D2" s="5" t="s">
        <v>304</v>
      </c>
      <c r="E2" s="5" t="s">
        <v>305</v>
      </c>
      <c r="F2" s="5" t="s">
        <v>306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300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301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329</v>
      </c>
      <c r="E15" s="5" t="s">
        <v>327</v>
      </c>
    </row>
    <row r="16" spans="1:8">
      <c r="B16" s="5" t="s">
        <v>334</v>
      </c>
      <c r="C16" s="5" t="s">
        <v>335</v>
      </c>
      <c r="G16" s="5" t="s">
        <v>330</v>
      </c>
      <c r="H16" s="5" t="s">
        <v>331</v>
      </c>
    </row>
    <row r="17" spans="1:9">
      <c r="B17" s="5" t="s">
        <v>336</v>
      </c>
      <c r="G17" s="5" t="s">
        <v>332</v>
      </c>
      <c r="H17" s="5" t="s">
        <v>333</v>
      </c>
    </row>
    <row r="22" spans="1:9">
      <c r="A22" s="5" t="s">
        <v>326</v>
      </c>
    </row>
    <row r="23" spans="1:9">
      <c r="B23" s="35" t="s">
        <v>316</v>
      </c>
      <c r="C23" s="35" t="s">
        <v>317</v>
      </c>
      <c r="D23" s="35" t="s">
        <v>318</v>
      </c>
      <c r="E23" s="35" t="s">
        <v>319</v>
      </c>
      <c r="G23" s="37" t="s">
        <v>307</v>
      </c>
      <c r="H23" s="8"/>
      <c r="I23" s="38"/>
    </row>
    <row r="24" spans="1:9">
      <c r="B24" s="35" t="s">
        <v>320</v>
      </c>
      <c r="C24" s="35">
        <v>1</v>
      </c>
      <c r="D24" s="35">
        <v>1</v>
      </c>
      <c r="E24" s="36">
        <v>1</v>
      </c>
      <c r="G24" s="35">
        <v>1</v>
      </c>
      <c r="H24" s="35" t="s">
        <v>309</v>
      </c>
      <c r="I24" s="35"/>
    </row>
    <row r="25" spans="1:9">
      <c r="B25" s="35" t="s">
        <v>321</v>
      </c>
      <c r="C25" s="35">
        <v>5</v>
      </c>
      <c r="D25" s="35">
        <v>50</v>
      </c>
      <c r="E25" s="36">
        <v>0.1</v>
      </c>
      <c r="G25" s="35">
        <v>2</v>
      </c>
      <c r="H25" s="35" t="s">
        <v>310</v>
      </c>
      <c r="I25" s="35" t="s">
        <v>312</v>
      </c>
    </row>
    <row r="26" spans="1:9">
      <c r="B26" s="35" t="s">
        <v>322</v>
      </c>
      <c r="C26" s="35">
        <v>3</v>
      </c>
      <c r="D26" s="35">
        <v>4</v>
      </c>
      <c r="E26" s="36">
        <v>0.75</v>
      </c>
      <c r="G26" s="37" t="s">
        <v>307</v>
      </c>
      <c r="H26" s="8"/>
      <c r="I26" s="38"/>
    </row>
    <row r="27" spans="1:9">
      <c r="B27" s="35" t="s">
        <v>323</v>
      </c>
      <c r="C27" s="35">
        <v>0</v>
      </c>
      <c r="D27" s="35">
        <v>2</v>
      </c>
      <c r="E27" s="36">
        <v>0</v>
      </c>
      <c r="G27" s="35">
        <v>1</v>
      </c>
      <c r="H27" s="35" t="s">
        <v>311</v>
      </c>
      <c r="I27" s="35"/>
    </row>
    <row r="28" spans="1:9">
      <c r="B28" s="35" t="s">
        <v>324</v>
      </c>
      <c r="C28" s="35">
        <v>0</v>
      </c>
      <c r="D28" s="35">
        <v>0</v>
      </c>
      <c r="E28" s="35" t="s">
        <v>325</v>
      </c>
      <c r="G28" s="35">
        <v>2</v>
      </c>
      <c r="H28" s="35" t="s">
        <v>313</v>
      </c>
      <c r="I28" s="35"/>
    </row>
    <row r="29" spans="1:9">
      <c r="B29" s="35" t="s">
        <v>308</v>
      </c>
      <c r="C29" s="35"/>
      <c r="D29" s="35"/>
      <c r="E29" s="35"/>
      <c r="G29" s="35">
        <v>3</v>
      </c>
      <c r="H29" s="35" t="s">
        <v>314</v>
      </c>
      <c r="I29" s="35" t="s">
        <v>312</v>
      </c>
    </row>
    <row r="30" spans="1:9">
      <c r="G30" s="35">
        <v>4</v>
      </c>
      <c r="H30" s="35" t="s">
        <v>315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6" sqref="H6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1100</v>
      </c>
      <c r="F4" s="1" t="s">
        <v>1113</v>
      </c>
    </row>
    <row r="5" spans="1:8">
      <c r="A5" s="1" t="s">
        <v>1105</v>
      </c>
      <c r="B5" s="1" t="s">
        <v>1101</v>
      </c>
      <c r="G5" s="1" t="s">
        <v>1105</v>
      </c>
      <c r="H5" s="1" t="s">
        <v>1114</v>
      </c>
    </row>
    <row r="6" spans="1:8">
      <c r="A6" s="1" t="s">
        <v>1106</v>
      </c>
      <c r="B6" s="1" t="s">
        <v>1109</v>
      </c>
      <c r="G6" s="1" t="s">
        <v>1106</v>
      </c>
      <c r="H6" s="1" t="s">
        <v>1115</v>
      </c>
    </row>
    <row r="7" spans="1:8">
      <c r="A7" s="1" t="s">
        <v>1107</v>
      </c>
      <c r="B7" s="1" t="s">
        <v>1102</v>
      </c>
      <c r="G7" s="1" t="s">
        <v>1107</v>
      </c>
      <c r="H7" s="1" t="s">
        <v>1116</v>
      </c>
    </row>
    <row r="8" spans="1:8">
      <c r="A8" s="1" t="s">
        <v>1108</v>
      </c>
      <c r="B8" s="1" t="s">
        <v>1103</v>
      </c>
      <c r="G8" s="1" t="s">
        <v>1108</v>
      </c>
      <c r="H8" s="1" t="s">
        <v>1117</v>
      </c>
    </row>
    <row r="9" spans="1:8">
      <c r="A9" s="1" t="s">
        <v>1110</v>
      </c>
      <c r="B9" s="1" t="s">
        <v>1104</v>
      </c>
      <c r="G9" s="1" t="s">
        <v>1110</v>
      </c>
      <c r="H9" s="1" t="s">
        <v>1118</v>
      </c>
    </row>
    <row r="12" spans="1:8">
      <c r="B12" s="1" t="s">
        <v>1111</v>
      </c>
    </row>
    <row r="13" spans="1:8">
      <c r="B13" s="1" t="s">
        <v>1112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2025-01-03T14:01:57Z</dcterms:modified>
</cp:coreProperties>
</file>